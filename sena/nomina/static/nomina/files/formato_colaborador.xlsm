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lbert\Downloads\"/>
    </mc:Choice>
  </mc:AlternateContent>
  <xr:revisionPtr revIDLastSave="0" documentId="13_ncr:1_{5DF6B07F-F8C6-4317-8B8E-CCCE09A8696A}" xr6:coauthVersionLast="47" xr6:coauthVersionMax="47" xr10:uidLastSave="{00000000-0000-0000-0000-000000000000}"/>
  <bookViews>
    <workbookView xWindow="-108" yWindow="-108" windowWidth="23256" windowHeight="12576" tabRatio="807" xr2:uid="{CFF015E3-E3F0-4F3C-98B2-B241F251F39A}"/>
  </bookViews>
  <sheets>
    <sheet name="COLABORADORES" sheetId="20" r:id="rId1"/>
    <sheet name="NOVEDADES" sheetId="21" r:id="rId2"/>
    <sheet name="Tablas" sheetId="18" state="hidden" r:id="rId3"/>
    <sheet name="RETENCIÓN" sheetId="15" state="hidden" r:id="rId4"/>
  </sheets>
  <definedNames>
    <definedName name="ANA">#REF!</definedName>
    <definedName name="auxiliotransporte" localSheetId="1">#REF!</definedName>
    <definedName name="auxiliotransporte">#REF!</definedName>
    <definedName name="dosminimos" localSheetId="1">#REF!</definedName>
    <definedName name="dosminimos">#REF!</definedName>
    <definedName name="fspensional1" localSheetId="1">#REF!</definedName>
    <definedName name="fspensional1">#REF!</definedName>
    <definedName name="fspensional12" localSheetId="1">#REF!</definedName>
    <definedName name="fspensional12">#REF!</definedName>
    <definedName name="fspensional12mas" localSheetId="1">#REF!</definedName>
    <definedName name="fspensional12mas">#REF!</definedName>
    <definedName name="fspensional14" localSheetId="1">#REF!</definedName>
    <definedName name="fspensional14">#REF!</definedName>
    <definedName name="fspensional14mas" localSheetId="1">#REF!</definedName>
    <definedName name="fspensional14mas">#REF!</definedName>
    <definedName name="fspensional16" localSheetId="1">#REF!</definedName>
    <definedName name="fspensional16">#REF!</definedName>
    <definedName name="fspensional16mas" localSheetId="1">#REF!</definedName>
    <definedName name="fspensional16mas">#REF!</definedName>
    <definedName name="fspensional18" localSheetId="1">#REF!</definedName>
    <definedName name="fspensional18">#REF!</definedName>
    <definedName name="fspensional18mas" localSheetId="1">#REF!</definedName>
    <definedName name="fspensional18mas">#REF!</definedName>
    <definedName name="fspensional1mas" localSheetId="1">#REF!</definedName>
    <definedName name="fspensional1mas">#REF!</definedName>
    <definedName name="fspensional20" localSheetId="1">#REF!</definedName>
    <definedName name="fspensional20">#REF!</definedName>
    <definedName name="fspp1" localSheetId="1">#REF!</definedName>
    <definedName name="fspp1">#REF!</definedName>
    <definedName name="fspp12" localSheetId="1">#REF!</definedName>
    <definedName name="fspp12">#REF!</definedName>
    <definedName name="fspp14" localSheetId="1">#REF!</definedName>
    <definedName name="fspp14">#REF!</definedName>
    <definedName name="fspp16" localSheetId="1">#REF!</definedName>
    <definedName name="fspp16">#REF!</definedName>
    <definedName name="fspp18" localSheetId="1">#REF!</definedName>
    <definedName name="fspp18">#REF!</definedName>
    <definedName name="fspp20" localSheetId="1">#REF!</definedName>
    <definedName name="fspp20">#REF!</definedName>
    <definedName name="hed" localSheetId="1">#REF!</definedName>
    <definedName name="hed">#REF!</definedName>
    <definedName name="heddf" localSheetId="1">#REF!</definedName>
    <definedName name="heddf">#REF!</definedName>
    <definedName name="hen" localSheetId="1">#REF!</definedName>
    <definedName name="hen">#REF!</definedName>
    <definedName name="hendf" localSheetId="1">#REF!</definedName>
    <definedName name="hendf">#REF!</definedName>
    <definedName name="rddf" localSheetId="1">#REF!</definedName>
    <definedName name="rddf">#REF!</definedName>
    <definedName name="rn" localSheetId="1">#REF!</definedName>
    <definedName name="rn">#REF!</definedName>
    <definedName name="rndf" localSheetId="1">#REF!</definedName>
    <definedName name="rndf">#REF!</definedName>
    <definedName name="smlv" localSheetId="1">#REF!</definedName>
    <definedName name="smlv">#REF!</definedName>
    <definedName name="tablaempleados" localSheetId="1">#REF!</definedName>
    <definedName name="tablaempleados">#REF!</definedName>
  </definedNames>
  <calcPr calcId="191029"/>
  <pivotCaches>
    <pivotCache cacheId="1"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9" i="15" l="1"/>
  <c r="D40" i="15" s="1"/>
  <c r="D38" i="15"/>
  <c r="B18" i="15" l="1"/>
  <c r="B10" i="15"/>
  <c r="B34" i="15" l="1"/>
  <c r="B26" i="15"/>
  <c r="B28" i="15" l="1"/>
  <c r="B33" i="15" l="1"/>
  <c r="B36" i="15" s="1"/>
  <c r="B39" i="15" s="1"/>
  <c r="B40" i="15" s="1"/>
  <c r="B3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 authorId="0" shapeId="0" xr:uid="{863D1270-E2A5-45D1-BDAF-1C7576515818}">
      <text>
        <r>
          <rPr>
            <b/>
            <sz val="9"/>
            <color indexed="81"/>
            <rFont val="Tahoma"/>
            <family val="2"/>
          </rPr>
          <t>ANA:</t>
        </r>
        <r>
          <rPr>
            <sz val="9"/>
            <color indexed="81"/>
            <rFont val="Tahoma"/>
            <family val="2"/>
          </rPr>
          <t xml:space="preserve">
I</t>
        </r>
        <r>
          <rPr>
            <sz val="12"/>
            <color indexed="81"/>
            <rFont val="Tahoma"/>
            <family val="2"/>
          </rPr>
          <t>ngrese el devengado del colaborador</t>
        </r>
      </text>
    </comment>
    <comment ref="B6" authorId="0" shapeId="0" xr:uid="{B631071A-3A02-448E-B125-C5534EDD1473}">
      <text>
        <r>
          <rPr>
            <b/>
            <sz val="9"/>
            <color indexed="81"/>
            <rFont val="Tahoma"/>
            <family val="2"/>
          </rPr>
          <t>ANA:</t>
        </r>
        <r>
          <rPr>
            <sz val="9"/>
            <color indexed="81"/>
            <rFont val="Tahoma"/>
            <family val="2"/>
          </rPr>
          <t xml:space="preserve">
I</t>
        </r>
        <r>
          <rPr>
            <sz val="14"/>
            <color indexed="81"/>
            <rFont val="Tahoma"/>
            <family val="2"/>
          </rPr>
          <t>ngrese el valor deducido en la nómina del colaborador por concepto de EPS</t>
        </r>
      </text>
    </comment>
    <comment ref="B7" authorId="0" shapeId="0" xr:uid="{4736EADC-50BF-4524-ADD5-6CB267CAFE2D}">
      <text>
        <r>
          <rPr>
            <sz val="12"/>
            <color indexed="81"/>
            <rFont val="Tahoma"/>
            <family val="2"/>
          </rPr>
          <t>Ingrese el valor deducido en la nómina del colaborador por concepto de AFP</t>
        </r>
      </text>
    </comment>
    <comment ref="B8" authorId="0" shapeId="0" xr:uid="{5A3BE9AD-2326-4652-B4AE-E240D2D5C383}">
      <text>
        <r>
          <rPr>
            <b/>
            <sz val="12"/>
            <color indexed="81"/>
            <rFont val="Tahoma"/>
            <family val="2"/>
          </rPr>
          <t>ANA:</t>
        </r>
        <r>
          <rPr>
            <sz val="12"/>
            <color indexed="81"/>
            <rFont val="Tahoma"/>
            <family val="2"/>
          </rPr>
          <t xml:space="preserve">
Ingrese el valor deducido en la nómina del colaborador por concepto de Aportes al Fondo de solidariada pensional</t>
        </r>
      </text>
    </comment>
    <comment ref="B9" authorId="0" shapeId="0" xr:uid="{891BA6C0-9750-4661-8896-86F8F9B7A864}">
      <text>
        <r>
          <rPr>
            <b/>
            <sz val="12"/>
            <color indexed="81"/>
            <rFont val="Tahoma"/>
            <family val="2"/>
          </rPr>
          <t>ANA:</t>
        </r>
        <r>
          <rPr>
            <sz val="12"/>
            <color indexed="81"/>
            <rFont val="Tahoma"/>
            <family val="2"/>
          </rPr>
          <t xml:space="preserve">
Ingrese el valor que el colaborador aporte de forma independiente a fondo de pensiones</t>
        </r>
      </text>
    </comment>
    <comment ref="B14" authorId="0" shapeId="0" xr:uid="{D298D727-534E-4C19-9B90-2816AF26777B}">
      <text>
        <r>
          <rPr>
            <b/>
            <sz val="12"/>
            <color indexed="81"/>
            <rFont val="Tahoma"/>
            <family val="2"/>
          </rPr>
          <t>ANA:</t>
        </r>
        <r>
          <rPr>
            <sz val="9"/>
            <color indexed="81"/>
            <rFont val="Tahoma"/>
            <family val="2"/>
          </rPr>
          <t xml:space="preserve">
</t>
        </r>
        <r>
          <rPr>
            <sz val="12"/>
            <color indexed="81"/>
            <rFont val="Tahoma"/>
            <family val="2"/>
          </rPr>
          <t>Ingrese el valor que pagó mensualmente en promedio por intereses por compra de vivienda.  Entiendase que debe pedirle al colaborador el certificado del año anterior y este valor dividirlo en 12, el resultado será el valor a descontar cada mes en el año actual.</t>
        </r>
      </text>
    </comment>
    <comment ref="B16" authorId="0" shapeId="0" xr:uid="{5055D931-5815-4649-B188-A7C6AA36E397}">
      <text>
        <r>
          <rPr>
            <b/>
            <sz val="12"/>
            <color indexed="81"/>
            <rFont val="Tahoma"/>
            <family val="2"/>
          </rPr>
          <t xml:space="preserve">ANA:
</t>
        </r>
        <r>
          <rPr>
            <sz val="12"/>
            <color indexed="81"/>
            <rFont val="Tahoma"/>
            <family val="2"/>
          </rPr>
          <t>Ingrese el valor que pagó mensualmente en promedio por concepto de medicina prepagada.  Entiendase que debe pedirle al colaborador el certificado del año anterior y este valor dividirlo en 12, el resultado será el valor a descontar cada mes en el año actual.</t>
        </r>
      </text>
    </comment>
    <comment ref="B18" authorId="0" shapeId="0" xr:uid="{20E0CA51-41B7-4F02-97D7-63725F30059C}">
      <text>
        <r>
          <rPr>
            <b/>
            <sz val="12"/>
            <color indexed="81"/>
            <rFont val="Tahoma"/>
            <family val="2"/>
          </rPr>
          <t>ANA:</t>
        </r>
        <r>
          <rPr>
            <sz val="12"/>
            <color indexed="81"/>
            <rFont val="Tahoma"/>
            <family val="2"/>
          </rPr>
          <t xml:space="preserve">
Los dependientes son:
- Hijos hasta los 18 años.
-Hjos entre 18 a 23 años con financiación para su educación. 
- Hijos mayores a 23 años que por factores físicos o psicológicos mantengan un grado de dependencia. 
- Cónyuge o compañero permanente que por tener ingresos menores a 260 UVT (9.440.080 pesos) anuales o factores físicos o psicológicos se considere en situación de dependencia. 
- Hermanos que se consideren en situación de dependencia por ingresos menores a 260 UVT (9.440.080 pesos) anuales o factores físicos o psicológicos.</t>
        </r>
      </text>
    </comment>
    <comment ref="B33" authorId="0" shapeId="0" xr:uid="{73B838F2-968F-435D-A3C9-1EF830FD5270}">
      <text>
        <r>
          <rPr>
            <b/>
            <sz val="12"/>
            <color indexed="81"/>
            <rFont val="Tahoma"/>
            <family val="2"/>
          </rPr>
          <t>ANA:</t>
        </r>
        <r>
          <rPr>
            <sz val="12"/>
            <color indexed="81"/>
            <rFont val="Tahoma"/>
            <family val="2"/>
          </rPr>
          <t xml:space="preserve">
Este valor corresponde a la sumatoria de las deducciones y rentas excentas</t>
        </r>
      </text>
    </comment>
  </commentList>
</comments>
</file>

<file path=xl/sharedStrings.xml><?xml version="1.0" encoding="utf-8"?>
<sst xmlns="http://schemas.openxmlformats.org/spreadsheetml/2006/main" count="120" uniqueCount="107">
  <si>
    <t>CARGO</t>
  </si>
  <si>
    <t>SALARIO</t>
  </si>
  <si>
    <t>Mecánico</t>
  </si>
  <si>
    <t>Revisora</t>
  </si>
  <si>
    <t>Supervisor</t>
  </si>
  <si>
    <t>CEDULA</t>
  </si>
  <si>
    <t>NOMBRE</t>
  </si>
  <si>
    <t>Incapacidad</t>
  </si>
  <si>
    <t>Dias trabajados</t>
  </si>
  <si>
    <t>H.E. Diurna</t>
  </si>
  <si>
    <t>H.E. Diur. Dom/Fest</t>
  </si>
  <si>
    <t>H.E. Noct.</t>
  </si>
  <si>
    <t>H.E. Noct. Dom/Fest</t>
  </si>
  <si>
    <t>Recargo Noct.</t>
  </si>
  <si>
    <t>Recargo Diurno Dom/Fest</t>
  </si>
  <si>
    <t>Comisiones (Valor de la venta)</t>
  </si>
  <si>
    <t>Comisiones (Porcentaje de la Comision)</t>
  </si>
  <si>
    <t>Bonificaciones</t>
  </si>
  <si>
    <t>Embargos Judiciales</t>
  </si>
  <si>
    <t>Libranzas</t>
  </si>
  <si>
    <t>Cooperativas</t>
  </si>
  <si>
    <t>Otros</t>
  </si>
  <si>
    <t>FECHA DE INGRESO</t>
  </si>
  <si>
    <t>CÉDULA</t>
  </si>
  <si>
    <t>Operarios manuales</t>
  </si>
  <si>
    <t>Jefe de Calidad</t>
  </si>
  <si>
    <t>Jefe de Ingeniería</t>
  </si>
  <si>
    <t>Servicios Generales</t>
  </si>
  <si>
    <t>Pistolero</t>
  </si>
  <si>
    <t>Planchador</t>
  </si>
  <si>
    <t>FECHA FIN CONTRATO</t>
  </si>
  <si>
    <t>TIPO CONTRATO</t>
  </si>
  <si>
    <t>FECHA RETIRO</t>
  </si>
  <si>
    <t>MOTIVO RETIRO</t>
  </si>
  <si>
    <t>PERMISO REMUNERADO</t>
  </si>
  <si>
    <t>PERMISO NO REMUNERADO</t>
  </si>
  <si>
    <t>SIN JUSTA CAUSA</t>
  </si>
  <si>
    <t>INGRESOS</t>
  </si>
  <si>
    <t>Ingresos Gravados (Constitutivos de Renta)</t>
  </si>
  <si>
    <t>límites</t>
  </si>
  <si>
    <t>Pago del mes (todos los pagos, sean o no constitutivos de salario). Además, cuando se cancelen cesantías o intereses de cesantías, o cuando las cesantías sean consignadas en los fondos de cesantías, dichos valores sí le constituirán ingreso fiscal al asalariado al final del año, pero los empleadores nunca deben someter dichos valores a retención en la fuente .</t>
  </si>
  <si>
    <r>
      <t xml:space="preserve">Pago o abono en cuenta por rentas de trabajo no laborales (honorarios, comisiones, servicios, emolumentos, etc.), si los pagos o abonos en cuenta se someterán a retención con la tabla del artículo 383 del ET, en ese caso se deberán sumar todas las facturas o cuentas de cobro que sean del mismo mes. Pero cuando </t>
    </r>
    <r>
      <rPr>
        <sz val="12"/>
        <color indexed="10"/>
        <rFont val="Calibri Light"/>
        <family val="2"/>
        <scheme val="major"/>
      </rPr>
      <t>no</t>
    </r>
    <r>
      <rPr>
        <sz val="12"/>
        <rFont val="Calibri Light"/>
        <family val="2"/>
        <scheme val="major"/>
      </rPr>
      <t xml:space="preserve"> se tenga que aplicar la tabla del artículo 383 del ET, sino las tarifas tradicionales de los artículos 392 o 401 del ET, entonces se podrá mirar cada factura o cuenta de cobro del mismo mes en forma independiente.</t>
    </r>
  </si>
  <si>
    <t>Ingresos  No Gravados (No Constitutivos de Renta ni ganancia ocasional)</t>
  </si>
  <si>
    <t xml:space="preserve">Aporte obligatorio a salud calculado sobre los ingresos del mismo mes. En el caso de quienes cobran rentas de trabajo sin vínculo laboral, solo se restará el aporte que corresponda al contrato que esté pagando o abonando en cuenta el respectivo agente de retención, y dicho aporte se demostrará con copia de la Pila que deberá adjuntarse a la respectiva factura o cuenta de cobro (ver artículos 1.2.4.1.7 y 1.2.4.1.16 del DUT 1625 de 2016).
Téngase presente que la Ley 1955 de mayo 25 de 2019 derogó el artículo 135 de la Ley 1753 de junio de 2015 y, por tanto, ya no existe obligación de practicar retención a título de aportes a seguridad social a los trabajadores independientes (ver también el artículo 244 de la misma Ley 1955 de mayo de 2019, modificado con el artículo 139 de la Ley 2010 de diciembre 27 de 2019 y reglamentado con el Decreto 1377 de octubre 21 de 2020). </t>
  </si>
  <si>
    <t>Sín límite</t>
  </si>
  <si>
    <t>Aportes obligatorios a los fondos de pensiones obligatorias realizados sobre los ingresos del mismo mes (ver el artículo 55 del ET, modificado con el artículo 31 de la Ley 2010 de diciembre 27 de 2019).</t>
  </si>
  <si>
    <t>Fondo de solidaridad pensional</t>
  </si>
  <si>
    <t>Aportes voluntarios a los fondos de pensiones obligatorios del régimen de ahorro individual (ver artículo 55 del ET, luego de ser modificado con el artículo 31 de la Ley 2010 de diciembre 27 de 2019; este valor no puede exceder el 25 % del ingreso bruto del mes y, adicionalmente, en valores absolutos, no debe exceder las 2.500 UVT anuales; al respecto, téngase presente que el DUT 1625 de 2016 no fija un límite mensual especial  en UVT para este concepto y, por tanto, el agente de retención lo único que tiene que vigilar es que durrante un mismo año fiscal no se lleguen a restar más de 2.500 UVT).</t>
  </si>
  <si>
    <t>25% del ingreso laboral y hasta 2500 UVT (Al año)</t>
  </si>
  <si>
    <t>Subtotal 1 ("Ingreso neto" del mes) Ingreso gravado - Ingreso No gravado</t>
  </si>
  <si>
    <t>Deducciones del artículo 387</t>
  </si>
  <si>
    <r>
      <t xml:space="preserve">      1) Intereses en préstamos para adquisición de vivienda del trabajador (o el costo financiero en un contrato de</t>
    </r>
    <r>
      <rPr>
        <i/>
        <sz val="12"/>
        <rFont val="Calibri Light"/>
        <family val="2"/>
        <scheme val="major"/>
      </rPr>
      <t xml:space="preserve"> leasing</t>
    </r>
    <r>
      <rPr>
        <sz val="12"/>
        <rFont val="Calibri Light"/>
        <family val="2"/>
        <scheme val="major"/>
      </rPr>
      <t xml:space="preserve"> para adquirir vivienda del trabajador) pagados en el año anterior </t>
    </r>
    <r>
      <rPr>
        <b/>
        <sz val="12"/>
        <color rgb="FFC00000"/>
        <rFont val="Calibri Light"/>
        <family val="2"/>
        <scheme val="major"/>
      </rPr>
      <t>(2023)</t>
    </r>
    <r>
      <rPr>
        <sz val="12"/>
        <rFont val="Calibri Light"/>
        <family val="2"/>
        <scheme val="major"/>
      </rPr>
      <t xml:space="preserve"> y  divididos por los meses a que correspondieron (este valor no puede exceder mensualmente las 100 UVT, o sea,  100 x $47.065 = $4.706.500; ver artículos 1.2.4.1.6, 1.2.4.1.23 y 1.2.1.4.1.24 del DUT 1625 de 2016).</t>
    </r>
  </si>
  <si>
    <r>
      <t xml:space="preserve">       2) Pagos durante el año anterior </t>
    </r>
    <r>
      <rPr>
        <b/>
        <sz val="12"/>
        <color rgb="FFC00000"/>
        <rFont val="Calibri Light"/>
        <family val="2"/>
        <scheme val="major"/>
      </rPr>
      <t>(2023)</t>
    </r>
    <r>
      <rPr>
        <sz val="12"/>
        <rFont val="Calibri Light"/>
        <family val="2"/>
        <scheme val="major"/>
      </rPr>
      <t xml:space="preserve"> a medicina prepagada del trabajador, el cónyuge, y sus hijos y dependientes, y  divididos por los meses correspondientes (este valor no pude exceder las 16 UVT, o sea, 16 x $47.065 = $753.040). </t>
    </r>
  </si>
  <si>
    <t>16 UVT</t>
  </si>
  <si>
    <t xml:space="preserve">       3) Deducción por concepto de dependientes o personas a cargo, pero solamente si esos dependientes son del tipo de personas expresamente mencionadas en el parágrafo del artículo 387 del ET y en los artículos 1.2.1.4.1.6 y 1.2.4.1.18 del DUT 1625 de 2016   (se resta el 10 % de los ingresos brutos, sin exceder las 32 UVT; o sea, sin exceder las 32 x $42.412 = $1.357.000). En la reforma tributaria se habla de 4 diferentes dependientes equivalente a 72 UVT anuales, esta deducción sólo se usará al final del año cuando se elabore la declaración de renta.</t>
  </si>
  <si>
    <t>10% DE LOS INGRESOS BRUTOS LABORALES Y HASTA 32 UVT</t>
  </si>
  <si>
    <t>RENTAS EXCENTAS</t>
  </si>
  <si>
    <t xml:space="preserve">           1) Aportes  voluntarios a los fondos de pensiones y a las cuentas AFC y cuentas AVC (ver artículos 126-1 y 126-4 del ET y los artículos 1.2.1.22.41 hasta 1.2.1.22.43 del DUT 1625 de 2016. La suma de estos dos valores no puede exceder el 30 % del valor bruto devengado en el mes (ver los artículos 126-1 y 126-4 del ET). Además, a lo largo del año cada empleador o contratante debe controlar que, en total, al mismo asalariado o prestador de servicios no se le reste por estos conceptos combinados un valor superior a 3.800 UVT (en el 2023 sería: 3.800 x $42.412 = $161.166.000; ver también los artículos 1.2.1.22.41 y 1.2.1.22.43 del DUT 1625 de 2016).</t>
  </si>
  <si>
    <t>30% DEL INGRESO LABORAL O INGRESO TRIBUTARIO DEL AÑO, HASTA 3800 UVT POR AÑO</t>
  </si>
  <si>
    <t>límite general de rentas excentas 40% del ingreso salarial y hasta 1340 UVT (Anual)</t>
  </si>
  <si>
    <t xml:space="preserve">     2) Los valores de los numerales 1 al 3 del artículo 206 del ET (ejemplo: el valor de los dineros para gastos de entierro del trabajador, o las indemnizaciones que impliquen protección a la maternidad).</t>
  </si>
  <si>
    <t xml:space="preserve">     3) Los valores de los numerales 6 al 9 del artículo 206 del ET (ejemplo: el valor de los gastos de representación de los rectores y profesores de universidades públicas los cuales no podrán exceder el 50 % de su salario; o el valor de los gastos de representación de los magistrados y fiscales, los cuales no podrán exceder el 50 % de su salario).</t>
  </si>
  <si>
    <t>4) Los valores del artículo 206-1 del ET (prima especial y prima costo de vida de que trata el Decreto 3357 de 2009, recibida por servidores públicos diplomáticos; estas partidas se restan como renta exenta sin someterse luego al límite del 40 %)</t>
  </si>
  <si>
    <t>Subtotal 2 (Subotal 1- deducciones - Rentas excentas)</t>
  </si>
  <si>
    <r>
      <rPr>
        <b/>
        <sz val="12"/>
        <rFont val="Calibri Light"/>
        <family val="2"/>
        <scheme val="major"/>
      </rPr>
      <t>Menos:</t>
    </r>
    <r>
      <rPr>
        <sz val="12"/>
        <rFont val="Calibri Light"/>
        <family val="2"/>
        <scheme val="major"/>
      </rPr>
      <t xml:space="preserve"> el 25 % del subtotal 2, sin que anualmente exceda las </t>
    </r>
    <r>
      <rPr>
        <b/>
        <sz val="12"/>
        <color rgb="FFC00000"/>
        <rFont val="Calibri Light"/>
        <family val="2"/>
        <scheme val="major"/>
      </rPr>
      <t>790 UVT (es decir, 790 x $47.065 = $37.181.350)</t>
    </r>
    <r>
      <rPr>
        <b/>
        <sz val="12"/>
        <rFont val="Calibri Light"/>
        <family val="2"/>
        <scheme val="major"/>
      </rPr>
      <t xml:space="preserve"> </t>
    </r>
    <r>
      <rPr>
        <sz val="12"/>
        <rFont val="Calibri Light"/>
        <family val="2"/>
        <scheme val="major"/>
      </rPr>
      <t xml:space="preserve">La reforma no da el dato mensual.
</t>
    </r>
  </si>
  <si>
    <t>790 UVT ANUAL</t>
  </si>
  <si>
    <t>Subtotal 3</t>
  </si>
  <si>
    <t>Las deducciones y rentas exentas que se pretenden restar (sin incluir las rentas exentas que correspondan a los numerales 6, 7, 8 y 9 del artículo 206 del ET, o las que correspondan al artículo 206-1 del ET, las cuales no se deben someter a ningún límite y, por tanto, se pueden restar 100 %) están sumando hasta el momento un valor de:</t>
  </si>
  <si>
    <t>Dicho valor no debe exceder el resultado de tomar el subtotal 1 y multiplicarlo por el 40 %. Además, en valores absolutos, ese 40 % no puede exceder las 1.340 UVT anuales,  (en pesos serían: 1.340 UVT x 42.412= $56.832.000); La reforma tributaria no mencionó nada de valores mensuales.</t>
  </si>
  <si>
    <t>Valor que no se puede restar como deducciones y rentas exentas y que, por ende, se debe sumar al subtotal 3</t>
  </si>
  <si>
    <t>Subtotal 4</t>
  </si>
  <si>
    <t xml:space="preserve">  Valor de la UVT durante el 2023</t>
  </si>
  <si>
    <t xml:space="preserve">  Valor del salario, o el servicio, gravable del mes en términos de UVT</t>
  </si>
  <si>
    <t xml:space="preserve">  Valor de la retención en pesos</t>
  </si>
  <si>
    <t>Rangos en UVT</t>
  </si>
  <si>
    <t>Tarifa marginal</t>
  </si>
  <si>
    <t>IMPUESTO</t>
  </si>
  <si>
    <t>&gt;0</t>
  </si>
  <si>
    <t>&gt;95</t>
  </si>
  <si>
    <t>(Ingreso laboral gravado expresado en UVT menos 95 UVT) *19%</t>
  </si>
  <si>
    <t>&gt;150</t>
  </si>
  <si>
    <t>(Ingreso laboral gravado expresado en UVT menos 150 UVT) *28% más 10 UVT</t>
  </si>
  <si>
    <t>&gt;360</t>
  </si>
  <si>
    <t>(Ingreso laboral gravado expresado en UVT menos 360 UVT) *33% más 69 UVT</t>
  </si>
  <si>
    <t>&gt;640</t>
  </si>
  <si>
    <t>(Ingreso laboral gravado expresado en UVT menos 640 UVT) *35% más 162 UVT</t>
  </si>
  <si>
    <t>&gt;945</t>
  </si>
  <si>
    <t>(Ingreso laboral gravado expresado en UVT menos 945 UVT) *37% más 268 UVT</t>
  </si>
  <si>
    <t>&gt;2300</t>
  </si>
  <si>
    <t>En adelante</t>
  </si>
  <si>
    <t>(Ingreso laboral gravado expresado en UVT menos 2300 UVT) *39% más 770 UVT</t>
  </si>
  <si>
    <t>100 UVT PROMEDIO MES, 1200 UVT ANUAL</t>
  </si>
  <si>
    <t>1340 UVT ANUALES, 111 UVT MES</t>
  </si>
  <si>
    <t>Etiquetas de fila</t>
  </si>
  <si>
    <t>Total general</t>
  </si>
  <si>
    <t>Suma de Incapacidad</t>
  </si>
  <si>
    <t>Suma de Total Devengado</t>
  </si>
  <si>
    <t xml:space="preserve"> H.E. Diur. Dom/Fest</t>
  </si>
  <si>
    <t>H.E. Noct</t>
  </si>
  <si>
    <t>H.E. Noct. Dom/Fest.</t>
  </si>
  <si>
    <t>Recargo Noctu</t>
  </si>
  <si>
    <t>Recargo Noct. Dom/Fest.</t>
  </si>
  <si>
    <t>Recargo Diurno Dom/Fest.</t>
  </si>
  <si>
    <t>APELLIDO</t>
  </si>
  <si>
    <t>CORREO</t>
  </si>
  <si>
    <t>RIESGO (%)</t>
  </si>
  <si>
    <t>Recargo Nocturno Dom/Fest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</si>
</sst>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4" formatCode="_-&quot;$&quot;\ * #,##0.00_-;\-&quot;$&quot;\ * #,##0.00_-;_-&quot;$&quot;\ * &quot;-&quot;??_-;_-@_-"/>
    <numFmt numFmtId="43" formatCode="_-* #,##0.00_-;\-* #,##0.00_-;_-* &quot;-&quot;??_-;_-@_-"/>
    <numFmt numFmtId="164" formatCode="_(&quot;$&quot;\ * #,##0_);_(&quot;$&quot;\ * \(#,##0\);_(&quot;$&quot;\ * &quot;-&quot;??_);_(@_)"/>
    <numFmt numFmtId="165" formatCode="_-&quot;$&quot;\ * #,##0_-;\-&quot;$&quot;\ * #,##0_-;_-&quot;$&quot;\ * &quot;-&quot;??_-;_-@_-"/>
    <numFmt numFmtId="166" formatCode="[$-240A]d&quot; de &quot;mmmm&quot; de &quot;yyyy;@"/>
    <numFmt numFmtId="167" formatCode="#,##0;[Red]\(#,##0\)"/>
    <numFmt numFmtId="168" formatCode="_ &quot;$&quot;\ * #,##0_ ;_ &quot;$&quot;\ * \-#,##0_ ;_ &quot;$&quot;\ * &quot;-&quot;??_ ;_ @_ "/>
    <numFmt numFmtId="169" formatCode="_-* #,##0.000_-;\-* #,##0.000_-;_-* &quot;-&quot;??_-;_-@_-"/>
  </numFmts>
  <fonts count="38" x14ac:knownFonts="1">
    <font>
      <sz val="11"/>
      <color theme="1"/>
      <name val="Calibri"/>
      <family val="2"/>
      <scheme val="minor"/>
    </font>
    <font>
      <sz val="11"/>
      <color theme="1"/>
      <name val="Calibri"/>
      <family val="2"/>
      <scheme val="minor"/>
    </font>
    <font>
      <sz val="9"/>
      <color theme="1"/>
      <name val="Arial"/>
      <family val="2"/>
    </font>
    <font>
      <sz val="9"/>
      <name val="Arial"/>
      <family val="2"/>
    </font>
    <font>
      <b/>
      <sz val="9"/>
      <name val="Arial"/>
      <family val="2"/>
    </font>
    <font>
      <sz val="36"/>
      <color theme="1"/>
      <name val="Arial"/>
      <family val="2"/>
    </font>
    <font>
      <sz val="9"/>
      <color indexed="81"/>
      <name val="Tahoma"/>
      <family val="2"/>
    </font>
    <font>
      <b/>
      <sz val="9"/>
      <color indexed="81"/>
      <name val="Tahoma"/>
      <family val="2"/>
    </font>
    <font>
      <b/>
      <sz val="8"/>
      <name val="Arial"/>
      <family val="2"/>
    </font>
    <font>
      <b/>
      <sz val="18"/>
      <color rgb="FF00CC00"/>
      <name val="Calibri"/>
      <family val="2"/>
      <scheme val="minor"/>
    </font>
    <font>
      <b/>
      <sz val="14"/>
      <color rgb="FF00CC00"/>
      <name val="Calibri"/>
      <family val="2"/>
      <scheme val="minor"/>
    </font>
    <font>
      <sz val="12"/>
      <name val="Calibri Light"/>
      <family val="2"/>
      <scheme val="major"/>
    </font>
    <font>
      <b/>
      <sz val="22"/>
      <name val="Calibri Light"/>
      <family val="2"/>
      <scheme val="major"/>
    </font>
    <font>
      <sz val="12"/>
      <color indexed="10"/>
      <name val="Calibri Light"/>
      <family val="2"/>
      <scheme val="major"/>
    </font>
    <font>
      <sz val="18"/>
      <name val="Calibri Light"/>
      <family val="2"/>
      <scheme val="major"/>
    </font>
    <font>
      <b/>
      <sz val="16"/>
      <color theme="0"/>
      <name val="Calibri Light"/>
      <family val="2"/>
      <scheme val="major"/>
    </font>
    <font>
      <b/>
      <sz val="18"/>
      <color theme="0"/>
      <name val="Calibri Light"/>
      <family val="2"/>
      <scheme val="major"/>
    </font>
    <font>
      <b/>
      <sz val="12"/>
      <name val="Calibri Light"/>
      <family val="2"/>
      <scheme val="major"/>
    </font>
    <font>
      <i/>
      <sz val="12"/>
      <name val="Calibri Light"/>
      <family val="2"/>
      <scheme val="major"/>
    </font>
    <font>
      <b/>
      <sz val="12"/>
      <color rgb="FFC00000"/>
      <name val="Calibri Light"/>
      <family val="2"/>
      <scheme val="major"/>
    </font>
    <font>
      <sz val="16"/>
      <name val="Calibri Light"/>
      <family val="2"/>
      <scheme val="major"/>
    </font>
    <font>
      <b/>
      <sz val="20"/>
      <name val="Calibri Light"/>
      <family val="2"/>
      <scheme val="major"/>
    </font>
    <font>
      <sz val="20"/>
      <name val="Calibri Light"/>
      <family val="2"/>
      <scheme val="major"/>
    </font>
    <font>
      <sz val="12"/>
      <color theme="1"/>
      <name val="Calibri Light"/>
      <family val="2"/>
      <scheme val="major"/>
    </font>
    <font>
      <sz val="16"/>
      <color theme="1"/>
      <name val="Calibri Light"/>
      <family val="2"/>
      <scheme val="major"/>
    </font>
    <font>
      <b/>
      <sz val="14"/>
      <color theme="0"/>
      <name val="Calibri Light"/>
      <family val="2"/>
      <scheme val="major"/>
    </font>
    <font>
      <i/>
      <sz val="18"/>
      <name val="Calibri Light"/>
      <family val="2"/>
      <scheme val="major"/>
    </font>
    <font>
      <sz val="12"/>
      <color rgb="FF000000"/>
      <name val="Arial"/>
      <family val="2"/>
    </font>
    <font>
      <b/>
      <sz val="22"/>
      <color theme="1"/>
      <name val="Calibri Light"/>
      <family val="2"/>
      <scheme val="major"/>
    </font>
    <font>
      <sz val="22"/>
      <color theme="1"/>
      <name val="Calibri Light"/>
      <family val="2"/>
      <scheme val="major"/>
    </font>
    <font>
      <sz val="16"/>
      <color theme="1"/>
      <name val="Calibri"/>
      <family val="2"/>
      <scheme val="minor"/>
    </font>
    <font>
      <b/>
      <sz val="16"/>
      <name val="Calibri Light"/>
      <family val="2"/>
      <scheme val="major"/>
    </font>
    <font>
      <i/>
      <sz val="16"/>
      <name val="Calibri Light"/>
      <family val="2"/>
      <scheme val="major"/>
    </font>
    <font>
      <b/>
      <sz val="16"/>
      <color theme="1"/>
      <name val="Calibri Light"/>
      <family val="2"/>
      <scheme val="major"/>
    </font>
    <font>
      <sz val="14"/>
      <color indexed="81"/>
      <name val="Tahoma"/>
      <family val="2"/>
    </font>
    <font>
      <sz val="12"/>
      <color indexed="81"/>
      <name val="Tahoma"/>
      <family val="2"/>
    </font>
    <font>
      <b/>
      <sz val="12"/>
      <color indexed="81"/>
      <name val="Tahoma"/>
      <family val="2"/>
    </font>
    <font>
      <u/>
      <sz val="11"/>
      <color theme="1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42CD11"/>
        <bgColor indexed="64"/>
      </patternFill>
    </fill>
    <fill>
      <patternFill patternType="solid">
        <fgColor rgb="FF00CC00"/>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bottom style="thick">
        <color rgb="FF00CC00"/>
      </bottom>
      <diagonal/>
    </border>
    <border>
      <left style="thick">
        <color rgb="FF00CC00"/>
      </left>
      <right/>
      <top style="thick">
        <color rgb="FF00CC00"/>
      </top>
      <bottom style="thick">
        <color rgb="FF00CC00"/>
      </bottom>
      <diagonal/>
    </border>
    <border>
      <left style="thick">
        <color rgb="FF00CC00"/>
      </left>
      <right/>
      <top/>
      <bottom/>
      <diagonal/>
    </border>
    <border>
      <left style="thick">
        <color rgb="FF00CC00"/>
      </left>
      <right style="thick">
        <color rgb="FF00CC00"/>
      </right>
      <top style="thick">
        <color rgb="FF00CC00"/>
      </top>
      <bottom style="thick">
        <color rgb="FF00CC00"/>
      </bottom>
      <diagonal/>
    </border>
    <border>
      <left style="thick">
        <color rgb="FF00CC00"/>
      </left>
      <right style="thick">
        <color rgb="FF00CC00"/>
      </right>
      <top style="thick">
        <color rgb="FF00CC00"/>
      </top>
      <bottom/>
      <diagonal/>
    </border>
    <border>
      <left/>
      <right/>
      <top style="thick">
        <color rgb="FF00CC00"/>
      </top>
      <bottom style="thick">
        <color rgb="FF00CC00"/>
      </bottom>
      <diagonal/>
    </border>
    <border>
      <left style="thick">
        <color theme="5"/>
      </left>
      <right/>
      <top/>
      <bottom/>
      <diagonal/>
    </border>
    <border>
      <left/>
      <right/>
      <top style="thick">
        <color rgb="FF00CC00"/>
      </top>
      <bottom/>
      <diagonal/>
    </border>
    <border>
      <left style="thick">
        <color rgb="FF00CC00"/>
      </left>
      <right/>
      <top style="thick">
        <color rgb="FF00CC00"/>
      </top>
      <bottom/>
      <diagonal/>
    </border>
    <border>
      <left style="thick">
        <color rgb="FF00CC00"/>
      </left>
      <right/>
      <top/>
      <bottom style="thick">
        <color rgb="FF00CC00"/>
      </bottom>
      <diagonal/>
    </border>
    <border>
      <left style="thick">
        <color theme="5"/>
      </left>
      <right/>
      <top style="thick">
        <color rgb="FF00CC00"/>
      </top>
      <bottom/>
      <diagonal/>
    </border>
    <border>
      <left style="thick">
        <color theme="0"/>
      </left>
      <right style="thick">
        <color theme="0"/>
      </right>
      <top style="thick">
        <color rgb="FF00CC00"/>
      </top>
      <bottom style="thick">
        <color theme="0"/>
      </bottom>
      <diagonal/>
    </border>
    <border>
      <left style="thick">
        <color theme="0"/>
      </left>
      <right style="thick">
        <color theme="0"/>
      </right>
      <top/>
      <bottom style="thick">
        <color theme="0"/>
      </bottom>
      <diagonal/>
    </border>
    <border>
      <left style="thick">
        <color rgb="FF00CC00"/>
      </left>
      <right style="thick">
        <color theme="0"/>
      </right>
      <top style="thick">
        <color rgb="FF00CC00"/>
      </top>
      <bottom/>
      <diagonal/>
    </border>
    <border>
      <left style="thick">
        <color theme="0"/>
      </left>
      <right/>
      <top style="thick">
        <color rgb="FF00CC00"/>
      </top>
      <bottom/>
      <diagonal/>
    </border>
    <border>
      <left/>
      <right style="medium">
        <color rgb="FF000000"/>
      </right>
      <top/>
      <bottom style="medium">
        <color rgb="FF000000"/>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37" fillId="0" borderId="0" applyNumberFormat="0" applyFill="0" applyBorder="0" applyAlignment="0" applyProtection="0"/>
  </cellStyleXfs>
  <cellXfs count="135">
    <xf numFmtId="0" fontId="0" fillId="0" borderId="0" xfId="0"/>
    <xf numFmtId="0" fontId="2" fillId="0" borderId="0" xfId="0" applyFont="1"/>
    <xf numFmtId="0" fontId="2" fillId="0" borderId="0" xfId="0" applyFont="1" applyAlignment="1">
      <alignment wrapText="1"/>
    </xf>
    <xf numFmtId="0" fontId="3" fillId="2" borderId="2" xfId="0" applyFont="1" applyFill="1" applyBorder="1" applyProtection="1">
      <protection locked="0"/>
    </xf>
    <xf numFmtId="0" fontId="3" fillId="2" borderId="7" xfId="0" applyFont="1" applyFill="1" applyBorder="1" applyProtection="1">
      <protection locked="0"/>
    </xf>
    <xf numFmtId="0" fontId="0" fillId="0" borderId="0" xfId="0" applyAlignment="1">
      <alignment horizontal="center"/>
    </xf>
    <xf numFmtId="165" fontId="0" fillId="0" borderId="0" xfId="0" applyNumberFormat="1"/>
    <xf numFmtId="0" fontId="4" fillId="3" borderId="6"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2" fillId="2" borderId="1" xfId="0" applyFont="1" applyFill="1" applyBorder="1"/>
    <xf numFmtId="164" fontId="2" fillId="2" borderId="1" xfId="0" applyNumberFormat="1" applyFont="1" applyFill="1" applyBorder="1"/>
    <xf numFmtId="0" fontId="2" fillId="2" borderId="1" xfId="0" applyFont="1" applyFill="1" applyBorder="1" applyAlignment="1">
      <alignment horizontal="center"/>
    </xf>
    <xf numFmtId="0" fontId="2" fillId="2" borderId="1" xfId="0" applyFont="1" applyFill="1" applyBorder="1" applyAlignment="1">
      <alignment horizontal="center" vertical="center" wrapText="1"/>
    </xf>
    <xf numFmtId="9" fontId="2" fillId="2" borderId="1" xfId="0" applyNumberFormat="1" applyFont="1" applyFill="1" applyBorder="1"/>
    <xf numFmtId="0" fontId="2" fillId="2" borderId="0" xfId="0" applyFont="1" applyFill="1"/>
    <xf numFmtId="0" fontId="2" fillId="2" borderId="3" xfId="0" applyFont="1" applyFill="1" applyBorder="1"/>
    <xf numFmtId="0" fontId="2" fillId="2" borderId="3" xfId="0" applyFont="1" applyFill="1" applyBorder="1" applyAlignment="1">
      <alignment horizontal="center" vertical="center" wrapText="1"/>
    </xf>
    <xf numFmtId="0" fontId="3" fillId="2" borderId="1" xfId="0" applyFont="1" applyFill="1" applyBorder="1" applyAlignment="1" applyProtection="1">
      <alignment horizontal="center"/>
      <protection locked="0"/>
    </xf>
    <xf numFmtId="0" fontId="2" fillId="2" borderId="0" xfId="0" applyFont="1" applyFill="1" applyAlignment="1">
      <alignment horizontal="center"/>
    </xf>
    <xf numFmtId="0" fontId="2" fillId="0" borderId="0" xfId="0" applyFont="1" applyAlignment="1">
      <alignment horizontal="center"/>
    </xf>
    <xf numFmtId="0" fontId="2" fillId="0" borderId="0" xfId="0" applyFont="1" applyAlignment="1">
      <alignment horizontal="center" wrapText="1"/>
    </xf>
    <xf numFmtId="165" fontId="0" fillId="0" borderId="0" xfId="1" applyNumberFormat="1" applyFont="1"/>
    <xf numFmtId="165" fontId="0" fillId="0" borderId="0" xfId="1" applyNumberFormat="1" applyFont="1" applyAlignment="1">
      <alignment horizontal="center"/>
    </xf>
    <xf numFmtId="166" fontId="0" fillId="0" borderId="0" xfId="0" applyNumberFormat="1"/>
    <xf numFmtId="166" fontId="0" fillId="0" borderId="0" xfId="0" applyNumberFormat="1" applyAlignment="1">
      <alignment horizontal="center"/>
    </xf>
    <xf numFmtId="165" fontId="2" fillId="2" borderId="0" xfId="1" applyNumberFormat="1" applyFont="1" applyFill="1"/>
    <xf numFmtId="165" fontId="2" fillId="0" borderId="0" xfId="1" applyNumberFormat="1" applyFont="1"/>
    <xf numFmtId="165" fontId="2" fillId="0" borderId="0" xfId="1" applyNumberFormat="1" applyFont="1" applyAlignment="1">
      <alignment wrapText="1"/>
    </xf>
    <xf numFmtId="0" fontId="10" fillId="0" borderId="9" xfId="0" applyFont="1" applyBorder="1"/>
    <xf numFmtId="0" fontId="0" fillId="0" borderId="10" xfId="0" applyBorder="1"/>
    <xf numFmtId="0" fontId="11" fillId="0" borderId="11" xfId="0" applyFont="1" applyBorder="1" applyAlignment="1">
      <alignment horizontal="justify" vertical="top"/>
    </xf>
    <xf numFmtId="41" fontId="12" fillId="0" borderId="9" xfId="3" applyFont="1" applyBorder="1" applyAlignment="1">
      <alignment horizontal="right" vertical="center"/>
    </xf>
    <xf numFmtId="0" fontId="11" fillId="0" borderId="12" xfId="0" applyFont="1" applyBorder="1" applyAlignment="1">
      <alignment horizontal="justify" vertical="top"/>
    </xf>
    <xf numFmtId="41" fontId="12" fillId="0" borderId="11" xfId="3" applyFont="1" applyBorder="1" applyAlignment="1">
      <alignment horizontal="right" vertical="center"/>
    </xf>
    <xf numFmtId="0" fontId="11" fillId="0" borderId="12" xfId="0" applyFont="1" applyBorder="1" applyAlignment="1">
      <alignment horizontal="justify" vertical="top" wrapText="1"/>
    </xf>
    <xf numFmtId="167" fontId="14" fillId="0" borderId="12" xfId="3" applyNumberFormat="1" applyFont="1" applyBorder="1" applyAlignment="1">
      <alignment horizontal="left" vertical="center"/>
    </xf>
    <xf numFmtId="167" fontId="14" fillId="0" borderId="9" xfId="3" applyNumberFormat="1" applyFont="1" applyBorder="1" applyAlignment="1">
      <alignment vertical="center"/>
    </xf>
    <xf numFmtId="167" fontId="14" fillId="0" borderId="11" xfId="3" applyNumberFormat="1" applyFont="1" applyBorder="1" applyAlignment="1">
      <alignment vertical="center"/>
    </xf>
    <xf numFmtId="167" fontId="14" fillId="0" borderId="11" xfId="3" applyNumberFormat="1" applyFont="1" applyBorder="1" applyAlignment="1">
      <alignment vertical="center" wrapText="1"/>
    </xf>
    <xf numFmtId="0" fontId="15" fillId="4" borderId="14" xfId="0" applyFont="1" applyFill="1" applyBorder="1" applyAlignment="1">
      <alignment horizontal="center" vertical="top" wrapText="1"/>
    </xf>
    <xf numFmtId="167" fontId="16" fillId="2" borderId="10" xfId="3" applyNumberFormat="1" applyFont="1" applyFill="1" applyBorder="1" applyAlignment="1">
      <alignment vertical="center"/>
    </xf>
    <xf numFmtId="0" fontId="11" fillId="0" borderId="0" xfId="0" applyFont="1" applyAlignment="1">
      <alignment horizontal="justify" vertical="top"/>
    </xf>
    <xf numFmtId="167" fontId="11" fillId="0" borderId="0" xfId="3" applyNumberFormat="1" applyFont="1" applyBorder="1" applyAlignment="1">
      <alignment vertical="center"/>
    </xf>
    <xf numFmtId="0" fontId="17" fillId="0" borderId="8" xfId="0" applyFont="1" applyBorder="1" applyAlignment="1">
      <alignment horizontal="justify" vertical="top"/>
    </xf>
    <xf numFmtId="167" fontId="11" fillId="0" borderId="0" xfId="3" applyNumberFormat="1" applyFont="1" applyBorder="1" applyAlignment="1">
      <alignment horizontal="right" vertical="center"/>
    </xf>
    <xf numFmtId="167" fontId="14" fillId="0" borderId="11" xfId="3" applyNumberFormat="1" applyFont="1" applyBorder="1" applyAlignment="1">
      <alignment horizontal="left" vertical="center"/>
    </xf>
    <xf numFmtId="0" fontId="11" fillId="0" borderId="9" xfId="0" applyFont="1" applyBorder="1" applyAlignment="1">
      <alignment horizontal="justify" vertical="top"/>
    </xf>
    <xf numFmtId="167" fontId="14" fillId="0" borderId="9" xfId="3" applyNumberFormat="1" applyFont="1" applyBorder="1" applyAlignment="1">
      <alignment horizontal="right" vertical="center"/>
    </xf>
    <xf numFmtId="0" fontId="11" fillId="0" borderId="14" xfId="0" applyFont="1" applyBorder="1" applyAlignment="1">
      <alignment horizontal="justify" vertical="top"/>
    </xf>
    <xf numFmtId="167" fontId="11" fillId="0" borderId="11" xfId="3" applyNumberFormat="1" applyFont="1" applyBorder="1" applyAlignment="1">
      <alignment horizontal="right" vertical="center"/>
    </xf>
    <xf numFmtId="44" fontId="20" fillId="0" borderId="11" xfId="1" applyFont="1" applyBorder="1" applyAlignment="1">
      <alignment horizontal="right" vertical="center"/>
    </xf>
    <xf numFmtId="167" fontId="20" fillId="0" borderId="11" xfId="3" applyNumberFormat="1" applyFont="1" applyBorder="1" applyAlignment="1">
      <alignment horizontal="left" vertical="center" wrapText="1"/>
    </xf>
    <xf numFmtId="0" fontId="11" fillId="0" borderId="15" xfId="0" applyFont="1" applyBorder="1" applyAlignment="1">
      <alignment horizontal="justify" vertical="top"/>
    </xf>
    <xf numFmtId="167" fontId="14" fillId="0" borderId="12" xfId="3" applyNumberFormat="1" applyFont="1" applyBorder="1" applyAlignment="1">
      <alignment vertical="center"/>
    </xf>
    <xf numFmtId="167" fontId="14" fillId="0" borderId="12" xfId="3" applyNumberFormat="1" applyFont="1" applyBorder="1" applyAlignment="1">
      <alignment horizontal="left" vertical="center" wrapText="1"/>
    </xf>
    <xf numFmtId="0" fontId="0" fillId="0" borderId="0" xfId="0" applyAlignment="1">
      <alignment vertical="center" wrapText="1"/>
    </xf>
    <xf numFmtId="0" fontId="15" fillId="4" borderId="11" xfId="0" applyFont="1" applyFill="1" applyBorder="1" applyAlignment="1">
      <alignment horizontal="center" vertical="top" wrapText="1"/>
    </xf>
    <xf numFmtId="167" fontId="15" fillId="4" borderId="9" xfId="0" applyNumberFormat="1" applyFont="1" applyFill="1" applyBorder="1" applyAlignment="1">
      <alignment vertical="center"/>
    </xf>
    <xf numFmtId="167" fontId="15" fillId="2" borderId="13" xfId="0" applyNumberFormat="1" applyFont="1" applyFill="1" applyBorder="1" applyAlignment="1">
      <alignment vertical="center"/>
    </xf>
    <xf numFmtId="0" fontId="17" fillId="0" borderId="9" xfId="0" applyFont="1" applyBorder="1" applyAlignment="1">
      <alignment horizontal="justify" vertical="top"/>
    </xf>
    <xf numFmtId="167" fontId="17" fillId="0" borderId="11" xfId="0" applyNumberFormat="1" applyFont="1" applyBorder="1" applyAlignment="1">
      <alignment vertical="center"/>
    </xf>
    <xf numFmtId="167" fontId="20" fillId="0" borderId="12" xfId="3" applyNumberFormat="1" applyFont="1" applyBorder="1" applyAlignment="1">
      <alignment vertical="center"/>
    </xf>
    <xf numFmtId="44" fontId="0" fillId="0" borderId="0" xfId="1" applyFont="1"/>
    <xf numFmtId="0" fontId="17" fillId="0" borderId="16" xfId="0" applyFont="1" applyBorder="1" applyAlignment="1">
      <alignment horizontal="justify" vertical="top"/>
    </xf>
    <xf numFmtId="0" fontId="15" fillId="4" borderId="9" xfId="0" applyFont="1" applyFill="1" applyBorder="1" applyAlignment="1">
      <alignment horizontal="center" vertical="top"/>
    </xf>
    <xf numFmtId="167" fontId="15" fillId="4" borderId="16" xfId="0" applyNumberFormat="1" applyFont="1" applyFill="1" applyBorder="1" applyAlignment="1">
      <alignment vertical="center"/>
    </xf>
    <xf numFmtId="167" fontId="15" fillId="2" borderId="0" xfId="0" applyNumberFormat="1" applyFont="1" applyFill="1" applyAlignment="1">
      <alignment vertical="center"/>
    </xf>
    <xf numFmtId="0" fontId="17" fillId="0" borderId="17" xfId="0" applyFont="1" applyBorder="1" applyAlignment="1">
      <alignment horizontal="right" vertical="top"/>
    </xf>
    <xf numFmtId="0" fontId="0" fillId="0" borderId="13" xfId="0" applyBorder="1"/>
    <xf numFmtId="167" fontId="21" fillId="2" borderId="11" xfId="0" applyNumberFormat="1" applyFont="1" applyFill="1" applyBorder="1" applyAlignment="1">
      <alignment vertical="center"/>
    </xf>
    <xf numFmtId="0" fontId="11" fillId="0" borderId="16" xfId="0" applyFont="1" applyBorder="1" applyAlignment="1">
      <alignment horizontal="justify" vertical="top"/>
    </xf>
    <xf numFmtId="167" fontId="22" fillId="0" borderId="9" xfId="0" applyNumberFormat="1" applyFont="1" applyBorder="1" applyAlignment="1">
      <alignment vertical="center"/>
    </xf>
    <xf numFmtId="167" fontId="22" fillId="0" borderId="10" xfId="0" applyNumberFormat="1" applyFont="1" applyBorder="1" applyAlignment="1">
      <alignment vertical="center"/>
    </xf>
    <xf numFmtId="0" fontId="15" fillId="4" borderId="18" xfId="0" applyFont="1" applyFill="1" applyBorder="1" applyAlignment="1">
      <alignment horizontal="center" vertical="top"/>
    </xf>
    <xf numFmtId="167" fontId="15" fillId="4" borderId="11" xfId="0" applyNumberFormat="1" applyFont="1" applyFill="1" applyBorder="1" applyAlignment="1">
      <alignment horizontal="right" vertical="center"/>
    </xf>
    <xf numFmtId="167" fontId="15" fillId="2" borderId="16" xfId="0" applyNumberFormat="1" applyFont="1" applyFill="1" applyBorder="1" applyAlignment="1">
      <alignment vertical="center"/>
    </xf>
    <xf numFmtId="0" fontId="11" fillId="0" borderId="19" xfId="0" applyFont="1" applyBorder="1" applyAlignment="1">
      <alignment horizontal="justify" vertical="top"/>
    </xf>
    <xf numFmtId="167" fontId="17" fillId="0" borderId="20" xfId="0" applyNumberFormat="1" applyFont="1" applyBorder="1" applyAlignment="1">
      <alignment vertical="center"/>
    </xf>
    <xf numFmtId="0" fontId="23" fillId="0" borderId="9" xfId="0" applyFont="1" applyBorder="1" applyAlignment="1">
      <alignment horizontal="left" vertical="center" wrapText="1"/>
    </xf>
    <xf numFmtId="168" fontId="24" fillId="0" borderId="11" xfId="1" applyNumberFormat="1" applyFont="1" applyFill="1" applyBorder="1" applyAlignment="1">
      <alignment vertical="center"/>
    </xf>
    <xf numFmtId="168" fontId="24" fillId="0" borderId="0" xfId="1" applyNumberFormat="1" applyFont="1" applyFill="1" applyBorder="1" applyAlignment="1">
      <alignment vertical="center"/>
    </xf>
    <xf numFmtId="2" fontId="24" fillId="0" borderId="11" xfId="0" applyNumberFormat="1" applyFont="1" applyBorder="1" applyAlignment="1">
      <alignment vertical="center"/>
    </xf>
    <xf numFmtId="2" fontId="24" fillId="0" borderId="0" xfId="0" applyNumberFormat="1" applyFont="1" applyAlignment="1">
      <alignment vertical="center"/>
    </xf>
    <xf numFmtId="0" fontId="23" fillId="0" borderId="11" xfId="0" applyFont="1" applyBorder="1" applyAlignment="1">
      <alignment horizontal="left" vertical="center" wrapText="1"/>
    </xf>
    <xf numFmtId="44" fontId="24" fillId="0" borderId="11" xfId="1" applyFont="1" applyBorder="1" applyAlignment="1">
      <alignment vertical="center"/>
    </xf>
    <xf numFmtId="41" fontId="24" fillId="0" borderId="0" xfId="3" applyFont="1" applyFill="1" applyBorder="1" applyAlignment="1">
      <alignment vertical="center"/>
    </xf>
    <xf numFmtId="0" fontId="23" fillId="0" borderId="15" xfId="0" applyFont="1" applyBorder="1"/>
    <xf numFmtId="0" fontId="23" fillId="0" borderId="0" xfId="0" applyFont="1"/>
    <xf numFmtId="0" fontId="25" fillId="4" borderId="11" xfId="0" applyFont="1" applyFill="1" applyBorder="1" applyAlignment="1">
      <alignment horizontal="center" vertical="center" wrapText="1"/>
    </xf>
    <xf numFmtId="0" fontId="26" fillId="0" borderId="11" xfId="0" applyFont="1" applyBorder="1" applyAlignment="1">
      <alignment horizontal="center" vertical="center" wrapText="1"/>
    </xf>
    <xf numFmtId="9" fontId="26" fillId="0" borderId="11" xfId="2" applyFont="1" applyBorder="1" applyAlignment="1">
      <alignment horizontal="center" vertical="center" wrapText="1"/>
    </xf>
    <xf numFmtId="0" fontId="27" fillId="5" borderId="23" xfId="0" applyFont="1" applyFill="1" applyBorder="1" applyAlignment="1">
      <alignment vertical="center" wrapText="1"/>
    </xf>
    <xf numFmtId="0" fontId="0" fillId="0" borderId="15" xfId="0" applyBorder="1"/>
    <xf numFmtId="0" fontId="28" fillId="0" borderId="0" xfId="0" applyFont="1"/>
    <xf numFmtId="0" fontId="29" fillId="0" borderId="0" xfId="0" applyFont="1"/>
    <xf numFmtId="44" fontId="31" fillId="0" borderId="9" xfId="1" applyFont="1" applyBorder="1" applyAlignment="1">
      <alignment horizontal="right" vertical="center"/>
    </xf>
    <xf numFmtId="44" fontId="31" fillId="0" borderId="12" xfId="1" applyFont="1" applyBorder="1" applyAlignment="1">
      <alignment horizontal="right" vertical="center"/>
    </xf>
    <xf numFmtId="44" fontId="20" fillId="0" borderId="12" xfId="1" applyFont="1" applyBorder="1" applyAlignment="1">
      <alignment horizontal="right" vertical="center"/>
    </xf>
    <xf numFmtId="44" fontId="20" fillId="0" borderId="9" xfId="1" applyFont="1" applyBorder="1" applyAlignment="1">
      <alignment vertical="center"/>
    </xf>
    <xf numFmtId="167" fontId="20" fillId="0" borderId="11" xfId="3" applyNumberFormat="1" applyFont="1" applyBorder="1" applyAlignment="1">
      <alignment vertical="center"/>
    </xf>
    <xf numFmtId="44" fontId="20" fillId="0" borderId="11" xfId="1" applyFont="1" applyBorder="1" applyAlignment="1">
      <alignment vertical="center"/>
    </xf>
    <xf numFmtId="44" fontId="15" fillId="4" borderId="10" xfId="1" applyFont="1" applyFill="1" applyBorder="1" applyAlignment="1">
      <alignment vertical="center"/>
    </xf>
    <xf numFmtId="167" fontId="20" fillId="0" borderId="0" xfId="3" applyNumberFormat="1" applyFont="1" applyBorder="1" applyAlignment="1">
      <alignment vertical="center"/>
    </xf>
    <xf numFmtId="167" fontId="20" fillId="0" borderId="0" xfId="3" applyNumberFormat="1" applyFont="1" applyBorder="1" applyAlignment="1">
      <alignment horizontal="right" vertical="center"/>
    </xf>
    <xf numFmtId="167" fontId="20" fillId="0" borderId="9" xfId="3" applyNumberFormat="1" applyFont="1" applyBorder="1" applyAlignment="1">
      <alignment horizontal="right" vertical="center"/>
    </xf>
    <xf numFmtId="167" fontId="20" fillId="0" borderId="11" xfId="3" applyNumberFormat="1" applyFont="1" applyBorder="1" applyAlignment="1">
      <alignment horizontal="right" vertical="center"/>
    </xf>
    <xf numFmtId="167" fontId="31" fillId="0" borderId="9" xfId="0" applyNumberFormat="1" applyFont="1" applyBorder="1" applyAlignment="1">
      <alignment vertical="center"/>
    </xf>
    <xf numFmtId="167" fontId="31" fillId="0" borderId="11" xfId="0" applyNumberFormat="1" applyFont="1" applyBorder="1" applyAlignment="1">
      <alignment vertical="center"/>
    </xf>
    <xf numFmtId="0" fontId="30" fillId="0" borderId="13" xfId="0" applyFont="1" applyBorder="1"/>
    <xf numFmtId="167" fontId="31" fillId="2" borderId="11" xfId="0" applyNumberFormat="1" applyFont="1" applyFill="1" applyBorder="1" applyAlignment="1">
      <alignment vertical="center"/>
    </xf>
    <xf numFmtId="167" fontId="20" fillId="0" borderId="10" xfId="0" applyNumberFormat="1" applyFont="1" applyBorder="1" applyAlignment="1">
      <alignment vertical="center"/>
    </xf>
    <xf numFmtId="167" fontId="31" fillId="0" borderId="20" xfId="0" applyNumberFormat="1" applyFont="1" applyBorder="1" applyAlignment="1">
      <alignment vertical="center"/>
    </xf>
    <xf numFmtId="0" fontId="24" fillId="0" borderId="15" xfId="0" applyFont="1" applyBorder="1"/>
    <xf numFmtId="0" fontId="24" fillId="0" borderId="0" xfId="0" applyFont="1"/>
    <xf numFmtId="0" fontId="32" fillId="0" borderId="11" xfId="0" applyFont="1" applyBorder="1" applyAlignment="1">
      <alignment horizontal="center" vertical="center" wrapText="1"/>
    </xf>
    <xf numFmtId="0" fontId="33" fillId="0" borderId="0" xfId="0" applyFont="1"/>
    <xf numFmtId="168" fontId="0" fillId="0" borderId="10" xfId="0" applyNumberFormat="1" applyBorder="1"/>
    <xf numFmtId="41" fontId="23" fillId="0" borderId="0" xfId="0" applyNumberFormat="1" applyFont="1"/>
    <xf numFmtId="168" fontId="0" fillId="0" borderId="0" xfId="0" applyNumberFormat="1"/>
    <xf numFmtId="0" fontId="0" fillId="0" borderId="0" xfId="0" pivotButton="1"/>
    <xf numFmtId="0" fontId="0" fillId="0" borderId="0" xfId="0" applyAlignment="1">
      <alignment horizontal="left"/>
    </xf>
    <xf numFmtId="0" fontId="37" fillId="0" borderId="0" xfId="5"/>
    <xf numFmtId="169" fontId="0" fillId="0" borderId="0" xfId="4" applyNumberFormat="1" applyFont="1"/>
    <xf numFmtId="0" fontId="2" fillId="2" borderId="2" xfId="0" applyFont="1" applyFill="1" applyBorder="1" applyAlignment="1">
      <alignment horizontal="left"/>
    </xf>
    <xf numFmtId="1" fontId="2" fillId="2" borderId="2" xfId="0" applyNumberFormat="1" applyFont="1" applyFill="1" applyBorder="1" applyAlignment="1">
      <alignment horizontal="left"/>
    </xf>
    <xf numFmtId="0" fontId="8" fillId="3" borderId="4" xfId="0" applyFont="1" applyFill="1" applyBorder="1" applyAlignment="1">
      <alignment horizontal="center" vertical="center" wrapText="1"/>
    </xf>
    <xf numFmtId="0" fontId="5" fillId="0" borderId="0" xfId="0" applyFont="1" applyAlignment="1">
      <alignment horizontal="left"/>
    </xf>
    <xf numFmtId="0" fontId="5" fillId="0" borderId="5" xfId="0" applyFont="1" applyBorder="1" applyAlignment="1">
      <alignment horizontal="left"/>
    </xf>
    <xf numFmtId="0" fontId="25" fillId="4" borderId="21" xfId="0" applyFont="1" applyFill="1" applyBorder="1" applyAlignment="1">
      <alignment horizontal="center" vertical="center" wrapText="1"/>
    </xf>
    <xf numFmtId="0" fontId="25" fillId="4" borderId="22" xfId="0" applyFont="1" applyFill="1" applyBorder="1" applyAlignment="1">
      <alignment horizontal="center" vertical="center" wrapText="1"/>
    </xf>
    <xf numFmtId="0" fontId="9" fillId="2" borderId="8" xfId="0" applyFont="1" applyFill="1" applyBorder="1" applyAlignment="1">
      <alignment horizontal="center" vertical="center"/>
    </xf>
    <xf numFmtId="0" fontId="10" fillId="2" borderId="8" xfId="0" applyFont="1" applyFill="1" applyBorder="1" applyAlignment="1">
      <alignment horizontal="center"/>
    </xf>
    <xf numFmtId="0" fontId="10" fillId="2" borderId="13" xfId="0" applyFont="1" applyFill="1" applyBorder="1" applyAlignment="1">
      <alignment horizontal="center"/>
    </xf>
    <xf numFmtId="0" fontId="10" fillId="0" borderId="0" xfId="0" applyFont="1" applyAlignment="1">
      <alignment horizontal="center"/>
    </xf>
  </cellXfs>
  <cellStyles count="6">
    <cellStyle name="Hipervínculo" xfId="5" builtinId="8"/>
    <cellStyle name="Millares" xfId="4" builtinId="3"/>
    <cellStyle name="Millares [0]" xfId="3" builtinId="6"/>
    <cellStyle name="Moneda" xfId="1" builtinId="4"/>
    <cellStyle name="Normal" xfId="0" builtinId="0"/>
    <cellStyle name="Porcentaje" xfId="2" builtinId="5"/>
  </cellStyles>
  <dxfs count="35">
    <dxf>
      <numFmt numFmtId="165" formatCode="_-&quot;$&quot;\ * #,##0_-;\-&quot;$&quot;\ * #,##0_-;_-&quot;$&quot;\ * &quot;-&quot;??_-;_-@_-"/>
    </dxf>
    <dxf>
      <numFmt numFmtId="165" formatCode="_-&quot;$&quot;\ * #,##0_-;\-&quot;$&quot;\ * #,##0_-;_-&quot;$&quot;\ * &quot;-&quot;??_-;_-@_-"/>
    </dxf>
    <dxf>
      <numFmt numFmtId="165" formatCode="_-&quot;$&quot;\ * #,##0_-;\-&quot;$&quot;\ * #,##0_-;_-&quot;$&quot;\ * &quot;-&quot;??_-;_-@_-"/>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3" formatCode="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4"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165" formatCode="_-&quot;$&quot;\ * #,##0_-;\-&quot;$&quot;\ * #,##0_-;_-&quot;$&quot;\ *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auto="1"/>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66" formatCode="[$-240A]d&quot; de &quot;mmmm&quot; de &quot;yyyy;@"/>
    </dxf>
    <dxf>
      <numFmt numFmtId="166" formatCode="[$-240A]d&quot; de &quot;mmmm&quot; de &quot;yyyy;@"/>
    </dxf>
    <dxf>
      <font>
        <b val="0"/>
        <i val="0"/>
        <strike val="0"/>
        <condense val="0"/>
        <extend val="0"/>
        <outline val="0"/>
        <shadow val="0"/>
        <u val="none"/>
        <vertAlign val="baseline"/>
        <sz val="11"/>
        <color theme="1"/>
        <name val="Calibri"/>
        <family val="2"/>
        <scheme val="minor"/>
      </font>
      <numFmt numFmtId="169" formatCode="_-* #,##0.000_-;\-* #,##0.000_-;_-* &quot;-&quot;??_-;_-@_-"/>
    </dxf>
    <dxf>
      <numFmt numFmtId="166" formatCode="[$-240A]d&quot; de &quot;mmmm&quot; de &quot;yyyy;@"/>
    </dxf>
    <dxf>
      <font>
        <b val="0"/>
        <i val="0"/>
        <strike val="0"/>
        <condense val="0"/>
        <extend val="0"/>
        <outline val="0"/>
        <shadow val="0"/>
        <u val="none"/>
        <vertAlign val="baseline"/>
        <sz val="11"/>
        <color theme="1"/>
        <name val="Calibri"/>
        <family val="2"/>
        <scheme val="minor"/>
      </font>
      <numFmt numFmtId="165" formatCode="_-&quot;$&quot;\ * #,##0_-;\-&quot;$&quot;\ * #,##0_-;_-&quot;$&quot;\ * &quot;-&quot;??_-;_-@_-"/>
    </dxf>
    <dxf>
      <alignment horizontal="center" vertical="bottom" textRotation="0" wrapText="0" indent="0" justifyLastLine="0" shrinkToFit="0" readingOrder="0"/>
    </dxf>
    <dxf>
      <numFmt numFmtId="166" formatCode="[$-240A]d&quot; de &quot;mmmm&quot; de &quot;yyyy;@"/>
      <alignment horizontal="center" vertical="bottom" textRotation="0" wrapText="0" indent="0" justifyLastLine="0" shrinkToFit="0" readingOrder="0"/>
    </dxf>
  </dxfs>
  <tableStyles count="0" defaultTableStyle="TableStyleMedium2" defaultPivotStyle="PivotStyleLight16"/>
  <colors>
    <mruColors>
      <color rgb="FF00304D"/>
      <color rgb="FFFDC300"/>
      <color rgb="FF42CD11"/>
      <color rgb="FF50E5F9"/>
      <color rgb="FF39A900"/>
      <color rgb="FF007832"/>
      <color rgb="FF71277A"/>
      <color rgb="FF75F0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154782</xdr:colOff>
      <xdr:row>0</xdr:row>
      <xdr:rowOff>130968</xdr:rowOff>
    </xdr:from>
    <xdr:to>
      <xdr:col>0</xdr:col>
      <xdr:colOff>1174750</xdr:colOff>
      <xdr:row>0</xdr:row>
      <xdr:rowOff>1016000</xdr:rowOff>
    </xdr:to>
    <xdr:pic>
      <xdr:nvPicPr>
        <xdr:cNvPr id="2" name="Imagen 1">
          <a:extLst>
            <a:ext uri="{FF2B5EF4-FFF2-40B4-BE49-F238E27FC236}">
              <a16:creationId xmlns:a16="http://schemas.microsoft.com/office/drawing/2014/main" id="{A0C8CFB2-D81C-4E24-85A7-FA4493E3C95F}"/>
            </a:ext>
          </a:extLst>
        </xdr:cNvPr>
        <xdr:cNvPicPr/>
      </xdr:nvPicPr>
      <xdr:blipFill>
        <a:blip xmlns:r="http://schemas.openxmlformats.org/officeDocument/2006/relationships" r:embed="rId1"/>
        <a:stretch>
          <a:fillRect/>
        </a:stretch>
      </xdr:blipFill>
      <xdr:spPr>
        <a:xfrm>
          <a:off x="154782" y="130968"/>
          <a:ext cx="1019968" cy="88503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iente107" refreshedDate="45533.468247569443" createdVersion="6" refreshedVersion="6" minRefreshableVersion="3" recordCount="50" xr:uid="{06E1384B-52F5-4F3F-94BB-8287F17340B7}">
  <cacheSource type="worksheet">
    <worksheetSource name="Tabla12"/>
  </cacheSource>
  <cacheFields count="43">
    <cacheField name="CEDULA" numFmtId="0">
      <sharedItems containsSemiMixedTypes="0" containsString="0" containsNumber="1" containsInteger="1" minValue="0" maxValue="10"/>
    </cacheField>
    <cacheField name="NOMBRE" numFmtId="0">
      <sharedItems containsMixedTypes="1" containsNumber="1" containsInteger="1" minValue="0" maxValue="0" count="11">
        <s v="ANA ROCIO MANRIQUE RIOS"/>
        <s v="ANGELA ROSARIO PEREZ RICO"/>
        <s v="JULIANA GIRALDO RIOS"/>
        <s v="AMALIA MONSALVE SANCHEZ"/>
        <s v="JUAN GILBERTO MORENO RIOS"/>
        <s v="CAMILO ANDRES MONSALVE"/>
        <s v="CESAR JOSE GIRALDO"/>
        <s v="CARLOS ANDRES LÓPEZ"/>
        <s v="RIGOBERTO URAN PEÑA"/>
        <s v="RENÉ HIGUITA SUAZA"/>
        <n v="0"/>
      </sharedItems>
    </cacheField>
    <cacheField name="CARGO" numFmtId="0">
      <sharedItems containsMixedTypes="1" containsNumber="1" containsInteger="1" minValue="0" maxValue="0" count="10">
        <s v="Jefe de Ingeniería"/>
        <s v="Supervisor"/>
        <s v="Revisora"/>
        <s v="Jefe de Calidad"/>
        <s v="Pistolero"/>
        <s v="Operarios manuales"/>
        <s v="Planchador"/>
        <s v="Servicios Generales"/>
        <s v="Mecánico"/>
        <n v="0"/>
      </sharedItems>
    </cacheField>
    <cacheField name="Salario Basico" numFmtId="44">
      <sharedItems containsSemiMixedTypes="0" containsString="0" containsNumber="1" containsInteger="1" minValue="0" maxValue="15000000"/>
    </cacheField>
    <cacheField name="Incapacidad" numFmtId="0">
      <sharedItems containsSemiMixedTypes="0" containsString="0" containsNumber="1" containsInteger="1" minValue="0" maxValue="8"/>
    </cacheField>
    <cacheField name="Dias" numFmtId="0">
      <sharedItems containsSemiMixedTypes="0" containsString="0" containsNumber="1" containsInteger="1" minValue="0" maxValue="30"/>
    </cacheField>
    <cacheField name="IBC" numFmtId="165">
      <sharedItems containsSemiMixedTypes="0" containsString="0" containsNumber="1" minValue="0" maxValue="13914426.086956521"/>
    </cacheField>
    <cacheField name="Incapacidad2" numFmtId="165">
      <sharedItems containsSemiMixedTypes="0" containsString="0" containsNumber="1" minValue="0" maxValue="666600"/>
    </cacheField>
    <cacheField name="Sueldo" numFmtId="165">
      <sharedItems containsSemiMixedTypes="0" containsString="0" containsNumber="1" minValue="0" maxValue="11500000"/>
    </cacheField>
    <cacheField name="Auxilio de Transporte" numFmtId="165">
      <sharedItems containsSemiMixedTypes="0" containsString="0" containsNumber="1" containsInteger="1" minValue="0" maxValue="162000"/>
    </cacheField>
    <cacheField name="H.E.Diurna" numFmtId="165">
      <sharedItems containsSemiMixedTypes="0" containsString="0" containsNumber="1" minValue="0" maxValue="815217.3913043479"/>
    </cacheField>
    <cacheField name="H.E. Diur. Dom/Fest" numFmtId="165">
      <sharedItems containsSemiMixedTypes="0" containsString="0" containsNumber="1" minValue="0" maxValue="782608.69565217383"/>
    </cacheField>
    <cacheField name="H.E. Noct." numFmtId="165">
      <sharedItems containsSemiMixedTypes="0" containsString="0" containsNumber="1" minValue="0" maxValue="76086.956521739135"/>
    </cacheField>
    <cacheField name="H.E. Noct. Dom/Fest" numFmtId="165">
      <sharedItems containsSemiMixedTypes="0" containsString="0" containsNumber="1" minValue="0" maxValue="65217.391304347831"/>
    </cacheField>
    <cacheField name="Recargo Noct." numFmtId="165">
      <sharedItems containsSemiMixedTypes="0" containsString="0" containsNumber="1" minValue="0" maxValue="715217.3913043479"/>
    </cacheField>
    <cacheField name="Recargo Noct. Dom/Fest" numFmtId="165">
      <sharedItems containsSemiMixedTypes="0" containsString="0" containsNumber="1" minValue="0" maxValue="1123913.043478261"/>
    </cacheField>
    <cacheField name="Recargo Diurno Dom/Fest" numFmtId="165">
      <sharedItems containsSemiMixedTypes="0" containsString="0" containsNumber="1" minValue="0" maxValue="104347.82608695653"/>
    </cacheField>
    <cacheField name="Total HE y Recargos" numFmtId="165">
      <sharedItems containsSemiMixedTypes="0" containsString="0" containsNumber="1" minValue="0" maxValue="2150000"/>
    </cacheField>
    <cacheField name="Comisiones" numFmtId="165">
      <sharedItems containsSemiMixedTypes="0" containsString="0" containsNumber="1" containsInteger="1" minValue="0" maxValue="0"/>
    </cacheField>
    <cacheField name="Bonificaciones" numFmtId="165">
      <sharedItems containsSemiMixedTypes="0" containsString="0" containsNumber="1" containsInteger="1" minValue="0" maxValue="150000"/>
    </cacheField>
    <cacheField name="Total Devengado" numFmtId="165">
      <sharedItems containsSemiMixedTypes="0" containsString="0" containsNumber="1" minValue="0" maxValue="13914426.086956521"/>
    </cacheField>
    <cacheField name="Salud" numFmtId="165">
      <sharedItems containsSemiMixedTypes="0" containsString="0" containsNumber="1" minValue="0" maxValue="556577.04347826086"/>
    </cacheField>
    <cacheField name="Pension" numFmtId="165">
      <sharedItems containsSemiMixedTypes="0" containsString="0" containsNumber="1" minValue="0" maxValue="556577.04347826086"/>
    </cacheField>
    <cacheField name="F.S.P." numFmtId="165">
      <sharedItems containsSemiMixedTypes="0" containsString="0" containsNumber="1" minValue="0" maxValue="139144.26086956522"/>
    </cacheField>
    <cacheField name="Retefuente" numFmtId="165">
      <sharedItems containsSemiMixedTypes="0" containsString="0" containsNumber="1" containsInteger="1" minValue="0" maxValue="0"/>
    </cacheField>
    <cacheField name="Embargos Judiciales" numFmtId="165">
      <sharedItems containsSemiMixedTypes="0" containsString="0" containsNumber="1" containsInteger="1" minValue="0" maxValue="0"/>
    </cacheField>
    <cacheField name="Libranzas" numFmtId="165">
      <sharedItems containsSemiMixedTypes="0" containsString="0" containsNumber="1" containsInteger="1" minValue="0" maxValue="0"/>
    </cacheField>
    <cacheField name="Cooperativas" numFmtId="165">
      <sharedItems containsSemiMixedTypes="0" containsString="0" containsNumber="1" containsInteger="1" minValue="0" maxValue="0"/>
    </cacheField>
    <cacheField name="Otros" numFmtId="165">
      <sharedItems containsSemiMixedTypes="0" containsString="0" containsNumber="1" containsInteger="1" minValue="0" maxValue="0"/>
    </cacheField>
    <cacheField name="Total Deducciones" numFmtId="165">
      <sharedItems containsSemiMixedTypes="0" containsString="0" containsNumber="1" minValue="0" maxValue="1252298.3478260869"/>
    </cacheField>
    <cacheField name="NETO A PAGAR" numFmtId="165">
      <sharedItems containsSemiMixedTypes="0" containsString="0" containsNumber="1" minValue="0" maxValue="12662127.739130434"/>
    </cacheField>
    <cacheField name="Parafiscales Salud" numFmtId="165">
      <sharedItems containsSemiMixedTypes="0" containsString="0" containsNumber="1" minValue="0" maxValue="1182726.2173913044"/>
    </cacheField>
    <cacheField name="Parafiscales Pension" numFmtId="165">
      <sharedItems containsSemiMixedTypes="0" containsString="0" containsNumber="1" minValue="0" maxValue="1669731.1304347825"/>
    </cacheField>
    <cacheField name="Parafiscales ARL" numFmtId="165">
      <sharedItems containsSemiMixedTypes="0" containsString="0" containsNumber="1" minValue="0" maxValue="72633.304173913042"/>
    </cacheField>
    <cacheField name="ParafiscalesSENA" numFmtId="165">
      <sharedItems containsSemiMixedTypes="0" containsString="0" containsNumber="1" minValue="0" maxValue="278288.52173913043"/>
    </cacheField>
    <cacheField name="Parafiscales ICBF" numFmtId="165">
      <sharedItems containsSemiMixedTypes="0" containsString="0" containsNumber="1" minValue="0" maxValue="417432.78260869562"/>
    </cacheField>
    <cacheField name="TOTAL PARAFISCALES" numFmtId="165">
      <sharedItems containsSemiMixedTypes="0" containsString="0" containsNumber="1" minValue="0" maxValue="3620811.9563478259"/>
    </cacheField>
    <cacheField name="Parafiscales Caja de Compenscion" numFmtId="165">
      <sharedItems containsSemiMixedTypes="0" containsString="0" containsNumber="1" minValue="0" maxValue="556577.04347826086"/>
    </cacheField>
    <cacheField name="Provisiones Cesantias" numFmtId="165">
      <sharedItems containsSemiMixedTypes="0" containsString="0" containsNumber="1" minValue="0" maxValue="1159071.6930434783"/>
    </cacheField>
    <cacheField name="Provisiones Intereses sobre Cesantias" numFmtId="165">
      <sharedItems containsSemiMixedTypes="0" containsString="0" containsNumber="1" minValue="0" maxValue="139144.26086956522"/>
    </cacheField>
    <cacheField name="Provisiones Primas de Servicios" numFmtId="165">
      <sharedItems containsSemiMixedTypes="0" containsString="0" containsNumber="1" minValue="0" maxValue="1159071.6930434783"/>
    </cacheField>
    <cacheField name="Provisiones Vacaciones" numFmtId="165">
      <sharedItems containsSemiMixedTypes="0" containsString="0" containsNumber="1" minValue="0" maxValue="507347.22000000003"/>
    </cacheField>
    <cacheField name="TOTAL SUMA PROVISIONES" numFmtId="165">
      <sharedItems containsSemiMixedTypes="0" containsString="0" containsNumber="1" minValue="0" maxValue="2964634.8669565222"/>
    </cacheField>
  </cacheFields>
  <extLst>
    <ext xmlns:x14="http://schemas.microsoft.com/office/spreadsheetml/2009/9/main" uri="{725AE2AE-9491-48be-B2B4-4EB974FC3084}">
      <x14:pivotCacheDefinition pivotCacheId="1541903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x v="0"/>
    <x v="0"/>
    <n v="15000000"/>
    <n v="2"/>
    <n v="23"/>
    <n v="13914426.086956521"/>
    <n v="666600"/>
    <n v="11500000"/>
    <n v="0"/>
    <n v="815217.3913043479"/>
    <n v="782608.69565217383"/>
    <n v="0"/>
    <n v="0"/>
    <n v="0"/>
    <n v="0"/>
    <n v="0"/>
    <n v="1597826.0869565217"/>
    <n v="0"/>
    <n v="150000"/>
    <n v="13914426.086956521"/>
    <n v="556577.04347826086"/>
    <n v="556577.04347826086"/>
    <n v="139144.26086956522"/>
    <n v="0"/>
    <n v="0"/>
    <n v="0"/>
    <n v="0"/>
    <n v="0"/>
    <n v="1252298.3478260869"/>
    <n v="12662127.739130434"/>
    <n v="1182726.2173913044"/>
    <n v="1669731.1304347825"/>
    <n v="72633.304173913042"/>
    <n v="278288.52173913043"/>
    <n v="417432.78260869562"/>
    <n v="3620811.9563478259"/>
    <n v="556577.04347826086"/>
    <n v="1159071.6930434783"/>
    <n v="139144.26086956522"/>
    <n v="1159071.6930434783"/>
    <n v="507347.22000000003"/>
    <n v="2964634.8669565222"/>
  </r>
  <r>
    <n v="2"/>
    <x v="1"/>
    <x v="1"/>
    <n v="1850000"/>
    <n v="0"/>
    <n v="30"/>
    <n v="1975000"/>
    <n v="0"/>
    <n v="1850000"/>
    <n v="162000"/>
    <n v="0"/>
    <n v="0"/>
    <n v="0"/>
    <n v="0"/>
    <n v="0"/>
    <n v="0"/>
    <n v="0"/>
    <n v="0"/>
    <n v="0"/>
    <n v="125000"/>
    <n v="2137000"/>
    <n v="79000"/>
    <n v="79000"/>
    <n v="0"/>
    <n v="0"/>
    <n v="0"/>
    <n v="0"/>
    <n v="0"/>
    <n v="0"/>
    <n v="158000"/>
    <n v="1979000"/>
    <n v="0"/>
    <n v="237000"/>
    <n v="20619"/>
    <n v="0"/>
    <n v="0"/>
    <n v="257619"/>
    <n v="79000"/>
    <n v="164517.5"/>
    <n v="19750"/>
    <n v="164517.5"/>
    <n v="77145"/>
    <n v="425930"/>
  </r>
  <r>
    <n v="3"/>
    <x v="2"/>
    <x v="2"/>
    <n v="1420000"/>
    <n v="6"/>
    <n v="24"/>
    <n v="1473173.9130434783"/>
    <n v="260000"/>
    <n v="1136000"/>
    <n v="129600"/>
    <n v="77173.913043478256"/>
    <n v="0"/>
    <n v="0"/>
    <n v="0"/>
    <n v="0"/>
    <n v="0"/>
    <n v="0"/>
    <n v="77173.913043478256"/>
    <n v="0"/>
    <n v="0"/>
    <n v="1602773.9130434783"/>
    <n v="58926.956521739135"/>
    <n v="58926.956521739135"/>
    <n v="0"/>
    <n v="0"/>
    <n v="0"/>
    <n v="0"/>
    <n v="0"/>
    <n v="0"/>
    <n v="117853.91304347827"/>
    <n v="1484920"/>
    <n v="0"/>
    <n v="176780.86956521738"/>
    <n v="7689.9678260869559"/>
    <n v="0"/>
    <n v="0"/>
    <n v="184470.83739130435"/>
    <n v="58926.956521739135"/>
    <n v="122715.38695652173"/>
    <n v="14731.739130434784"/>
    <n v="122715.38695652173"/>
    <n v="58213.200000000004"/>
    <n v="318375.71304347826"/>
  </r>
  <r>
    <n v="4"/>
    <x v="3"/>
    <x v="1"/>
    <n v="1850000"/>
    <n v="0"/>
    <n v="30"/>
    <n v="1850000"/>
    <n v="0"/>
    <n v="1850000"/>
    <n v="162000"/>
    <n v="0"/>
    <n v="0"/>
    <n v="0"/>
    <n v="0"/>
    <n v="0"/>
    <n v="0"/>
    <n v="0"/>
    <n v="0"/>
    <n v="0"/>
    <n v="0"/>
    <n v="2012000"/>
    <n v="74000"/>
    <n v="74000"/>
    <n v="0"/>
    <n v="0"/>
    <n v="0"/>
    <n v="0"/>
    <n v="0"/>
    <n v="0"/>
    <n v="148000"/>
    <n v="1864000"/>
    <n v="0"/>
    <n v="222000"/>
    <n v="9657"/>
    <n v="0"/>
    <n v="0"/>
    <n v="231657"/>
    <n v="74000"/>
    <n v="154105"/>
    <n v="18500"/>
    <n v="154105"/>
    <n v="77145"/>
    <n v="403855"/>
  </r>
  <r>
    <n v="5"/>
    <x v="4"/>
    <x v="3"/>
    <n v="2000000"/>
    <n v="0"/>
    <n v="30"/>
    <n v="4150000"/>
    <n v="0"/>
    <n v="2000000.0000000002"/>
    <n v="162000"/>
    <n v="65217.391304347831"/>
    <n v="0"/>
    <n v="76086.956521739135"/>
    <n v="65217.391304347831"/>
    <n v="715217.3913043479"/>
    <n v="1123913.043478261"/>
    <n v="104347.82608695653"/>
    <n v="2150000"/>
    <n v="0"/>
    <n v="0"/>
    <n v="4312000"/>
    <n v="166000"/>
    <n v="166000"/>
    <n v="0"/>
    <n v="0"/>
    <n v="0"/>
    <n v="0"/>
    <n v="0"/>
    <n v="0"/>
    <n v="332000"/>
    <n v="3980000"/>
    <n v="0"/>
    <n v="498000"/>
    <n v="21663"/>
    <n v="0"/>
    <n v="0"/>
    <n v="519663"/>
    <n v="166000"/>
    <n v="345695"/>
    <n v="41500"/>
    <n v="345695"/>
    <n v="83400.000000000015"/>
    <n v="816290"/>
  </r>
  <r>
    <n v="6"/>
    <x v="5"/>
    <x v="4"/>
    <n v="1405000"/>
    <n v="8"/>
    <n v="22"/>
    <n v="1377000"/>
    <n v="346666.66666666669"/>
    <n v="1030333.3333333334"/>
    <n v="118800"/>
    <n v="0"/>
    <n v="0"/>
    <n v="0"/>
    <n v="0"/>
    <n v="0"/>
    <n v="0"/>
    <n v="0"/>
    <n v="0"/>
    <n v="0"/>
    <n v="0"/>
    <n v="1495800"/>
    <n v="55080"/>
    <n v="55080"/>
    <n v="0"/>
    <n v="0"/>
    <n v="0"/>
    <n v="0"/>
    <n v="0"/>
    <n v="0"/>
    <n v="110160"/>
    <n v="1385640"/>
    <n v="0"/>
    <n v="165240"/>
    <n v="7187.94"/>
    <n v="0"/>
    <n v="0"/>
    <n v="172427.94"/>
    <n v="55080"/>
    <n v="114704.1"/>
    <n v="13770"/>
    <n v="114704.1"/>
    <n v="57420.9"/>
    <n v="300599.10000000003"/>
  </r>
  <r>
    <n v="7"/>
    <x v="6"/>
    <x v="5"/>
    <n v="1380000"/>
    <n v="0"/>
    <n v="30"/>
    <n v="1587000"/>
    <n v="0"/>
    <n v="1380000"/>
    <n v="162000"/>
    <n v="75000"/>
    <n v="0"/>
    <n v="0"/>
    <n v="0"/>
    <n v="0"/>
    <n v="0"/>
    <n v="0"/>
    <n v="75000"/>
    <n v="0"/>
    <n v="132000"/>
    <n v="1749000"/>
    <n v="63480"/>
    <n v="63480"/>
    <n v="0"/>
    <n v="0"/>
    <n v="0"/>
    <n v="0"/>
    <n v="0"/>
    <n v="0"/>
    <n v="126960"/>
    <n v="1622040"/>
    <n v="0"/>
    <n v="190440"/>
    <n v="8284.14"/>
    <n v="0"/>
    <n v="0"/>
    <n v="198724.14"/>
    <n v="63480"/>
    <n v="132197.1"/>
    <n v="15870"/>
    <n v="132197.1"/>
    <n v="57546"/>
    <n v="337810.2"/>
  </r>
  <r>
    <n v="8"/>
    <x v="7"/>
    <x v="6"/>
    <n v="1460000"/>
    <n v="2"/>
    <n v="28"/>
    <n v="1449333.3333333333"/>
    <n v="86666.666666666672"/>
    <n v="1362666.6666666665"/>
    <n v="151200"/>
    <n v="0"/>
    <n v="0"/>
    <n v="0"/>
    <n v="0"/>
    <n v="0"/>
    <n v="0"/>
    <n v="0"/>
    <n v="0"/>
    <n v="0"/>
    <n v="0"/>
    <n v="1600533.3333333333"/>
    <n v="57973.333333333328"/>
    <n v="57973.333333333328"/>
    <n v="0"/>
    <n v="0"/>
    <n v="0"/>
    <n v="0"/>
    <n v="0"/>
    <n v="0"/>
    <n v="115946.66666666666"/>
    <n v="1484586.6666666665"/>
    <n v="0"/>
    <n v="173919.99999999997"/>
    <n v="7565.5199999999995"/>
    <n v="0"/>
    <n v="0"/>
    <n v="181485.51999999996"/>
    <n v="57973.333333333328"/>
    <n v="120729.46666666666"/>
    <n v="14493.333333333332"/>
    <n v="120729.46666666666"/>
    <n v="60437.2"/>
    <n v="316389.46666666667"/>
  </r>
  <r>
    <n v="9"/>
    <x v="8"/>
    <x v="7"/>
    <n v="1320000"/>
    <n v="1"/>
    <n v="23"/>
    <n v="1115594.2028985505"/>
    <n v="43333.333333333336"/>
    <n v="1012000"/>
    <n v="97200"/>
    <n v="0"/>
    <n v="0"/>
    <n v="60260.869565217399"/>
    <n v="0"/>
    <n v="0"/>
    <n v="0"/>
    <n v="0"/>
    <n v="60260.869565217399"/>
    <n v="0"/>
    <n v="0"/>
    <n v="1212794.2028985505"/>
    <n v="44623.768115942024"/>
    <n v="44623.768115942024"/>
    <n v="0"/>
    <n v="0"/>
    <n v="0"/>
    <n v="0"/>
    <n v="0"/>
    <n v="0"/>
    <n v="89247.536231884049"/>
    <n v="1123546.6666666665"/>
    <n v="0"/>
    <n v="133871.30434782605"/>
    <n v="5823.4017391304333"/>
    <n v="0"/>
    <n v="0"/>
    <n v="139694.70608695649"/>
    <n v="44623.768115942024"/>
    <n v="92928.997101449262"/>
    <n v="11155.942028985506"/>
    <n v="92928.997101449262"/>
    <n v="44007.399999999994"/>
    <n v="241021.33623188402"/>
  </r>
  <r>
    <n v="10"/>
    <x v="9"/>
    <x v="8"/>
    <n v="2400000"/>
    <n v="0"/>
    <n v="30"/>
    <n v="2713043.4782608696"/>
    <n v="0"/>
    <n v="2400000"/>
    <n v="162000"/>
    <n v="313043.47826086957"/>
    <n v="0"/>
    <n v="0"/>
    <n v="0"/>
    <n v="0"/>
    <n v="0"/>
    <n v="0"/>
    <n v="313043.47826086957"/>
    <n v="0"/>
    <n v="0"/>
    <n v="2875043.4782608696"/>
    <n v="108521.73913043478"/>
    <n v="108521.73913043478"/>
    <n v="0"/>
    <n v="0"/>
    <n v="0"/>
    <n v="0"/>
    <n v="0"/>
    <n v="0"/>
    <n v="217043.47826086957"/>
    <n v="2658000"/>
    <n v="0"/>
    <n v="325565.21739130432"/>
    <n v="14162.086956521738"/>
    <n v="0"/>
    <n v="0"/>
    <n v="339727.30434782605"/>
    <n v="108521.73913043478"/>
    <n v="225996.52173913043"/>
    <n v="27130.434782608696"/>
    <n v="225996.52173913043"/>
    <n v="100080"/>
    <n v="579203.47826086963"/>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AD90C7-A507-4C60-AD9B-D6DFED7EC14C}" name="TablaDinámica10" cacheId="1"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3">
  <location ref="A17:B28"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Fields count="1">
    <field x="2"/>
  </rowFields>
  <rowItems count="11">
    <i>
      <x/>
    </i>
    <i>
      <x v="1"/>
    </i>
    <i>
      <x v="2"/>
    </i>
    <i>
      <x v="3"/>
    </i>
    <i>
      <x v="4"/>
    </i>
    <i>
      <x v="5"/>
    </i>
    <i>
      <x v="6"/>
    </i>
    <i>
      <x v="7"/>
    </i>
    <i>
      <x v="8"/>
    </i>
    <i>
      <x v="9"/>
    </i>
    <i t="grand">
      <x/>
    </i>
  </rowItems>
  <colItems count="1">
    <i/>
  </colItems>
  <dataFields count="1">
    <dataField name="Suma de Total Devengado" fld="20"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57731E-A3D3-4D30-989D-4ECD2F8EF722}" name="TablaDinámica2" cacheId="1"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4">
  <location ref="A14:F15" firstHeaderRow="0"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65" showAll="0"/>
    <pivotField numFmtId="165" showAll="0"/>
    <pivotField numFmtId="165" showAll="0"/>
    <pivotField numFmtId="165" showAll="0"/>
    <pivotField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Items count="1">
    <i/>
  </rowItems>
  <colFields count="1">
    <field x="-2"/>
  </colFields>
  <colItems count="6">
    <i>
      <x/>
    </i>
    <i i="1">
      <x v="1"/>
    </i>
    <i i="2">
      <x v="2"/>
    </i>
    <i i="3">
      <x v="3"/>
    </i>
    <i i="4">
      <x v="4"/>
    </i>
    <i i="5">
      <x v="5"/>
    </i>
  </colItems>
  <dataFields count="6">
    <dataField name=" H.E. Diur. Dom/Fest" fld="11" baseField="0" baseItem="1"/>
    <dataField name="H.E. Noct" fld="12" baseField="0" baseItem="1"/>
    <dataField name="H.E. Noct. Dom/Fest." fld="13" baseField="0" baseItem="2"/>
    <dataField name="Recargo Noctu" fld="14" baseField="0" baseItem="3"/>
    <dataField name="Recargo Noct. Dom/Fest." fld="15" baseField="0" baseItem="4"/>
    <dataField name="Recargo Diurno Dom/Fest." fld="16" baseField="0" baseItem="5"/>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7682FD-7A4A-4052-A409-18586CBB4195}" name="TablaDinámica1" cacheId="1"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3">
  <location ref="A1:B12"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dataFiel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Fields count="1">
    <field x="2"/>
  </rowFields>
  <rowItems count="11">
    <i>
      <x/>
    </i>
    <i>
      <x v="1"/>
    </i>
    <i>
      <x v="2"/>
    </i>
    <i>
      <x v="3"/>
    </i>
    <i>
      <x v="4"/>
    </i>
    <i>
      <x v="5"/>
    </i>
    <i>
      <x v="6"/>
    </i>
    <i>
      <x v="7"/>
    </i>
    <i>
      <x v="8"/>
    </i>
    <i>
      <x v="9"/>
    </i>
    <i t="grand">
      <x/>
    </i>
  </rowItems>
  <colItems count="1">
    <i/>
  </colItems>
  <dataFields count="1">
    <dataField name="Suma de Incapacidad" fld="4"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5A745C-DB6C-4D41-BAC5-5AA8843CF6B6}" name="Tabla9" displayName="Tabla9" ref="A3:L13" totalsRowShown="0" headerRowDxfId="34">
  <autoFilter ref="A3:L13" xr:uid="{7F5A745C-DB6C-4D41-BAC5-5AA8843CF6B6}"/>
  <tableColumns count="12">
    <tableColumn id="1" xr3:uid="{8F29CF7F-0C94-4724-88F4-FA543D3AE5C9}" name="CÉDULA" dataDxfId="33"/>
    <tableColumn id="2" xr3:uid="{E2FC82FA-F27B-4C9B-A33C-107A3EE1092E}" name="NOMBRE"/>
    <tableColumn id="3" xr3:uid="{1FA3B605-C47E-4F0E-98A2-E7C97CCEE0F3}" name="APELLIDO"/>
    <tableColumn id="4" xr3:uid="{32967884-DE11-4FC4-A334-76CD88EB70B7}" name="CORREO" dataCellStyle="Hipervínculo"/>
    <tableColumn id="5" xr3:uid="{9E0F33ED-C661-4C76-A86E-C34851941BC4}" name="CARGO"/>
    <tableColumn id="6" xr3:uid="{6DFD9130-E8F9-4259-84A0-D9E68FAF255C}" name="SALARIO" dataDxfId="32" dataCellStyle="Moneda"/>
    <tableColumn id="7" xr3:uid="{CB2B0A78-9359-4E51-9927-7A5BCD277AF3}" name="FECHA DE INGRESO" dataDxfId="31"/>
    <tableColumn id="8" xr3:uid="{C1B12005-C282-468B-A1A1-B9495C93396C}" name="RIESGO (%)" dataDxfId="30" dataCellStyle="Millares"/>
    <tableColumn id="9" xr3:uid="{2FCE7C5B-D4F1-450F-B36A-E60E7211CB16}" name="TIPO CONTRATO"/>
    <tableColumn id="10" xr3:uid="{FCAC948A-6C52-4635-BE97-09C974EB57FA}" name="FECHA FIN CONTRATO" dataDxfId="29"/>
    <tableColumn id="11" xr3:uid="{01BDA893-1D26-48FE-B96D-5943B59BC9DF}" name="FECHA RETIRO" dataDxfId="28"/>
    <tableColumn id="12" xr3:uid="{72DE7FC4-2C4F-4D7C-9E0E-1F159C9C4AB8}" name="MOTIVO RETIR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19C54B3-C475-4DC2-B7CB-B1FC7A02F97E}" name="Tabla911" displayName="Tabla911" ref="A3:T53" totalsRowShown="0" headerRowDxfId="27" dataDxfId="25" headerRowBorderDxfId="26" tableBorderDxfId="24" totalsRowBorderDxfId="23">
  <autoFilter ref="A3:T53" xr:uid="{03C2BBA8-F3BF-45A3-8E95-0B63CC4252E3}"/>
  <tableColumns count="20">
    <tableColumn id="1" xr3:uid="{9FC6E21F-89CC-4AA7-BAA7-016F72E713D2}" name="CEDULA" dataDxfId="22"/>
    <tableColumn id="23" xr3:uid="{7089EB3A-3533-4C4C-A07C-D342C78872AE}" name="Incapacidad" dataDxfId="21" dataCellStyle="Moneda"/>
    <tableColumn id="6" xr3:uid="{B588A1ED-4960-43EF-A1C0-B1CDB4CC14F4}" name="Dias trabajados" dataDxfId="20" dataCellStyle="Moneda"/>
    <tableColumn id="25" xr3:uid="{77AFA8E2-58FB-466A-AD5B-7D12C4E55B66}" name="PERMISO REMUNERADO" dataDxfId="19" dataCellStyle="Moneda"/>
    <tableColumn id="30" xr3:uid="{B422D3F4-D1A5-4C25-89F6-1FE59554127B}" name="PERMISO NO REMUNERADO" dataDxfId="18" dataCellStyle="Moneda"/>
    <tableColumn id="31" xr3:uid="{6F98D705-5BD9-4A53-BB2F-ACE6F3AABCF9}" name="SIN JUSTA CAUSA" dataDxfId="17" dataCellStyle="Moneda"/>
    <tableColumn id="7" xr3:uid="{44320FA3-FDC4-4569-B99B-72FDB0719C5B}" name="H.E. Diurna" dataDxfId="16" dataCellStyle="Moneda"/>
    <tableColumn id="8" xr3:uid="{600F608F-E5E8-47FA-988A-39695BC514D7}" name="H.E. Diur. Dom/Fest" dataDxfId="15" dataCellStyle="Moneda"/>
    <tableColumn id="9" xr3:uid="{DD90C6F2-2454-4497-B10D-082ABB0C1531}" name="H.E. Noct." dataDxfId="14" dataCellStyle="Moneda"/>
    <tableColumn id="10" xr3:uid="{5C756FAC-2F19-421E-B5ED-6552243C7456}" name="H.E. Noct. Dom/Fest" dataDxfId="13" dataCellStyle="Moneda"/>
    <tableColumn id="11" xr3:uid="{9AE4AEE3-5EDE-417E-8F77-C2DE1A4297D3}" name="Recargo Noct." dataDxfId="12" dataCellStyle="Moneda"/>
    <tableColumn id="12" xr3:uid="{4CA6B3AF-07F2-4781-81B2-A8BD73806DBE}" name="Recargo Diurno Dom/Fest" dataDxfId="11" dataCellStyle="Moneda"/>
    <tableColumn id="13" xr3:uid="{02BAF388-197D-4175-9AD1-03E3B775A618}" name="Recargo Nocturno Dom/Fest" dataDxfId="10" dataCellStyle="Moneda"/>
    <tableColumn id="14" xr3:uid="{0AD2FDE8-8D89-4C2E-8907-83232FBEA9A7}" name="Comisiones (Valor de la venta)" dataDxfId="9" dataCellStyle="Moneda"/>
    <tableColumn id="15" xr3:uid="{1C19C701-DE65-48C9-935A-A12520493C29}" name="Comisiones (Porcentaje de la Comision)" dataDxfId="8" dataCellStyle="Moneda"/>
    <tableColumn id="16" xr3:uid="{1DAEDE2B-9D16-4AC8-B289-E91A64A4A7E9}" name="Bonificaciones" dataDxfId="7" dataCellStyle="Moneda"/>
    <tableColumn id="17" xr3:uid="{2E38E1AF-5269-4476-8DBC-79A490113803}" name="Embargos Judiciales" dataDxfId="6" dataCellStyle="Moneda"/>
    <tableColumn id="18" xr3:uid="{700EC0AC-074B-4815-96BE-495B54ECDB71}" name="Libranzas" dataDxfId="5" dataCellStyle="Moneda"/>
    <tableColumn id="19" xr3:uid="{F0DFCEDD-E373-418C-B0E8-1C56E2EFA99D}" name="Cooperativas" dataDxfId="4" dataCellStyle="Moneda"/>
    <tableColumn id="20" xr3:uid="{4D7D982A-D237-4805-97C9-83644479D720}" name="Otros" dataDxfId="3" dataCellStyle="Moned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B271-4FB5-45ED-9F15-901AB8BB35CC}">
  <dimension ref="A3:L13"/>
  <sheetViews>
    <sheetView tabSelected="1" topLeftCell="J1" workbookViewId="0">
      <selection activeCell="G20" sqref="G20"/>
    </sheetView>
  </sheetViews>
  <sheetFormatPr baseColWidth="10" defaultRowHeight="14.4" x14ac:dyDescent="0.3"/>
  <cols>
    <col min="1" max="1" width="14.33203125" customWidth="1"/>
    <col min="2" max="2" width="21" customWidth="1"/>
    <col min="3" max="3" width="23" customWidth="1"/>
    <col min="4" max="4" width="28.33203125" customWidth="1"/>
    <col min="5" max="5" width="21.44140625" customWidth="1"/>
    <col min="6" max="6" width="19.6640625" customWidth="1"/>
    <col min="7" max="7" width="20" customWidth="1"/>
    <col min="8" max="8" width="18.21875" customWidth="1"/>
    <col min="9" max="9" width="23.88671875" customWidth="1"/>
    <col min="10" max="10" width="25.109375" customWidth="1"/>
    <col min="11" max="11" width="23.88671875" customWidth="1"/>
    <col min="12" max="12" width="21.109375" customWidth="1"/>
  </cols>
  <sheetData>
    <row r="3" spans="1:12" x14ac:dyDescent="0.3">
      <c r="A3" s="5" t="s">
        <v>23</v>
      </c>
      <c r="B3" s="5" t="s">
        <v>6</v>
      </c>
      <c r="C3" s="5" t="s">
        <v>103</v>
      </c>
      <c r="D3" s="5" t="s">
        <v>104</v>
      </c>
      <c r="E3" s="5" t="s">
        <v>0</v>
      </c>
      <c r="F3" s="23" t="s">
        <v>1</v>
      </c>
      <c r="G3" s="25" t="s">
        <v>22</v>
      </c>
      <c r="H3" s="25" t="s">
        <v>105</v>
      </c>
      <c r="I3" s="25" t="s">
        <v>31</v>
      </c>
      <c r="J3" s="25" t="s">
        <v>30</v>
      </c>
      <c r="K3" s="25" t="s">
        <v>32</v>
      </c>
      <c r="L3" s="5" t="s">
        <v>33</v>
      </c>
    </row>
    <row r="4" spans="1:12" x14ac:dyDescent="0.3">
      <c r="A4" s="5"/>
      <c r="D4" s="122"/>
      <c r="F4" s="22"/>
      <c r="G4" s="24"/>
      <c r="H4" s="123"/>
      <c r="J4" s="24"/>
      <c r="K4" s="24"/>
    </row>
    <row r="5" spans="1:12" x14ac:dyDescent="0.3">
      <c r="A5" s="5"/>
      <c r="D5" s="122"/>
      <c r="F5" s="22"/>
      <c r="G5" s="24"/>
      <c r="H5" s="123"/>
      <c r="J5" s="24"/>
      <c r="K5" s="24"/>
    </row>
    <row r="6" spans="1:12" x14ac:dyDescent="0.3">
      <c r="A6" s="5"/>
      <c r="D6" s="122"/>
      <c r="F6" s="22"/>
      <c r="G6" s="24"/>
      <c r="H6" s="123"/>
      <c r="J6" s="24"/>
      <c r="K6" s="24"/>
    </row>
    <row r="7" spans="1:12" x14ac:dyDescent="0.3">
      <c r="A7" s="5"/>
      <c r="D7" s="122"/>
      <c r="F7" s="22"/>
      <c r="G7" s="24"/>
      <c r="H7" s="123"/>
      <c r="J7" s="24"/>
      <c r="K7" s="24"/>
    </row>
    <row r="8" spans="1:12" x14ac:dyDescent="0.3">
      <c r="A8" s="5"/>
      <c r="D8" s="122"/>
      <c r="F8" s="22"/>
      <c r="G8" s="24"/>
      <c r="H8" s="123"/>
      <c r="J8" s="24"/>
      <c r="K8" s="24"/>
    </row>
    <row r="9" spans="1:12" x14ac:dyDescent="0.3">
      <c r="A9" s="5"/>
      <c r="D9" s="122"/>
      <c r="F9" s="22"/>
      <c r="G9" s="24"/>
      <c r="H9" s="123"/>
      <c r="J9" s="24"/>
      <c r="K9" s="24"/>
    </row>
    <row r="10" spans="1:12" x14ac:dyDescent="0.3">
      <c r="A10" s="5"/>
      <c r="D10" s="122"/>
      <c r="F10" s="22"/>
      <c r="G10" s="24"/>
      <c r="H10" s="123"/>
      <c r="J10" s="24"/>
      <c r="K10" s="24"/>
    </row>
    <row r="11" spans="1:12" x14ac:dyDescent="0.3">
      <c r="A11" s="5"/>
      <c r="D11" s="122"/>
      <c r="F11" s="22"/>
      <c r="G11" s="24"/>
      <c r="H11" s="123"/>
      <c r="J11" s="24"/>
      <c r="K11" s="24"/>
    </row>
    <row r="12" spans="1:12" x14ac:dyDescent="0.3">
      <c r="A12" s="5"/>
      <c r="D12" s="122"/>
      <c r="F12" s="22"/>
      <c r="G12" s="24"/>
      <c r="H12" s="123"/>
      <c r="J12" s="24"/>
      <c r="K12" s="24"/>
    </row>
    <row r="13" spans="1:12" x14ac:dyDescent="0.3">
      <c r="A13" s="5"/>
      <c r="D13" s="122"/>
      <c r="F13" s="22"/>
      <c r="G13" s="24"/>
      <c r="H13" s="123"/>
      <c r="J13" s="24"/>
      <c r="K13" s="24"/>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A4767-5B23-4AA4-BC6E-A8E046E6A59A}">
  <sheetPr codeName="Hoja6">
    <tabColor rgb="FF002060"/>
  </sheetPr>
  <dimension ref="A1:XFB244"/>
  <sheetViews>
    <sheetView showGridLines="0" topLeftCell="C1" zoomScaleNormal="100" workbookViewId="0">
      <selection activeCell="H17" sqref="H16:H17"/>
    </sheetView>
  </sheetViews>
  <sheetFormatPr baseColWidth="10" defaultColWidth="0" defaultRowHeight="12" customHeight="1" zeroHeight="1" x14ac:dyDescent="0.2"/>
  <cols>
    <col min="1" max="1" width="16.77734375" style="1" customWidth="1"/>
    <col min="2" max="2" width="14.109375" style="1" customWidth="1"/>
    <col min="3" max="4" width="24.33203125" style="1" customWidth="1"/>
    <col min="5" max="5" width="32" style="1" customWidth="1"/>
    <col min="6" max="6" width="14.6640625" style="27" customWidth="1"/>
    <col min="7" max="7" width="16.109375" style="1" customWidth="1"/>
    <col min="8" max="8" width="16.109375" style="20" customWidth="1"/>
    <col min="9" max="9" width="15.44140625" style="1" customWidth="1"/>
    <col min="10" max="10" width="10.6640625" style="1" bestFit="1" customWidth="1"/>
    <col min="11" max="11" width="8.77734375" style="1" bestFit="1" customWidth="1"/>
    <col min="12" max="12" width="8.88671875" style="1" bestFit="1" customWidth="1"/>
    <col min="13" max="14" width="9.77734375" style="2" bestFit="1" customWidth="1"/>
    <col min="15" max="15" width="10.109375" style="2" bestFit="1" customWidth="1"/>
    <col min="16" max="16" width="16.88671875" style="2" bestFit="1" customWidth="1"/>
    <col min="17" max="17" width="13.109375" style="2" bestFit="1" customWidth="1"/>
    <col min="18" max="18" width="9.77734375" style="2" bestFit="1" customWidth="1"/>
    <col min="19" max="19" width="14" style="2" bestFit="1" customWidth="1"/>
    <col min="20" max="20" width="9.6640625" style="1" bestFit="1" customWidth="1"/>
    <col min="21" max="21" width="21.5546875" style="1" bestFit="1" customWidth="1"/>
    <col min="22" max="22" width="12.88671875" style="1" bestFit="1" customWidth="1"/>
    <col min="23" max="23" width="15.77734375" style="1" bestFit="1" customWidth="1"/>
    <col min="24" max="25" width="15.44140625" style="1" customWidth="1"/>
    <col min="26" max="26" width="15.6640625" style="1" customWidth="1"/>
    <col min="27" max="27" width="18.109375" style="1" customWidth="1"/>
    <col min="28" max="28" width="22.88671875" style="1" customWidth="1"/>
    <col min="29" max="29" width="26.109375" style="1" customWidth="1"/>
    <col min="30" max="30" width="28.88671875" style="1" bestFit="1" customWidth="1"/>
    <col min="31" max="31" width="23.44140625" style="1" customWidth="1"/>
    <col min="32" max="32" width="26" style="1" bestFit="1" customWidth="1"/>
    <col min="33" max="33" width="23.109375" style="1" customWidth="1"/>
    <col min="34" max="34" width="11.44140625" style="1" customWidth="1"/>
    <col min="35" max="16381" width="11.44140625" style="1" hidden="1"/>
    <col min="16382" max="16382" width="6.33203125" style="1" hidden="1"/>
    <col min="16383" max="16384" width="4.88671875" style="1" hidden="1"/>
  </cols>
  <sheetData>
    <row r="1" spans="1:28" ht="37.5" customHeight="1" x14ac:dyDescent="0.2">
      <c r="B1" s="127"/>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row>
    <row r="2" spans="1:28" ht="36" customHeight="1" x14ac:dyDescent="0.2">
      <c r="B2" s="128"/>
      <c r="C2" s="128"/>
      <c r="D2" s="128"/>
      <c r="E2" s="128"/>
      <c r="F2" s="128"/>
      <c r="G2" s="128"/>
      <c r="H2" s="128"/>
      <c r="I2" s="128"/>
      <c r="J2" s="128"/>
      <c r="K2" s="128"/>
      <c r="L2" s="128"/>
      <c r="M2" s="128"/>
      <c r="N2" s="128"/>
      <c r="O2" s="128"/>
      <c r="P2" s="128"/>
      <c r="Q2" s="128"/>
      <c r="R2" s="128"/>
      <c r="S2" s="128"/>
      <c r="T2" s="128"/>
      <c r="U2" s="128"/>
      <c r="V2" s="128"/>
      <c r="W2" s="128"/>
      <c r="X2" s="128"/>
      <c r="Y2" s="128"/>
      <c r="Z2" s="128"/>
      <c r="AA2" s="128"/>
      <c r="AB2" s="128"/>
    </row>
    <row r="3" spans="1:28" ht="92.25" customHeight="1" x14ac:dyDescent="0.2">
      <c r="A3" s="7" t="s">
        <v>5</v>
      </c>
      <c r="B3" s="9" t="s">
        <v>7</v>
      </c>
      <c r="C3" s="9" t="s">
        <v>8</v>
      </c>
      <c r="D3" s="126" t="s">
        <v>34</v>
      </c>
      <c r="E3" s="126" t="s">
        <v>35</v>
      </c>
      <c r="F3" s="126" t="s">
        <v>36</v>
      </c>
      <c r="G3" s="126" t="s">
        <v>9</v>
      </c>
      <c r="H3" s="126" t="s">
        <v>10</v>
      </c>
      <c r="I3" s="126" t="s">
        <v>11</v>
      </c>
      <c r="J3" s="126" t="s">
        <v>12</v>
      </c>
      <c r="K3" s="126" t="s">
        <v>13</v>
      </c>
      <c r="L3" s="126" t="s">
        <v>14</v>
      </c>
      <c r="M3" s="126" t="s">
        <v>106</v>
      </c>
      <c r="N3" s="9" t="s">
        <v>15</v>
      </c>
      <c r="O3" s="9" t="s">
        <v>16</v>
      </c>
      <c r="P3" s="8" t="s">
        <v>17</v>
      </c>
      <c r="Q3" s="9" t="s">
        <v>18</v>
      </c>
      <c r="R3" s="9" t="s">
        <v>19</v>
      </c>
      <c r="S3" s="9" t="s">
        <v>20</v>
      </c>
      <c r="T3" s="8" t="s">
        <v>21</v>
      </c>
    </row>
    <row r="4" spans="1:28" s="15" customFormat="1" ht="11.4" x14ac:dyDescent="0.2">
      <c r="A4" s="124"/>
      <c r="B4" s="18"/>
      <c r="C4" s="12"/>
      <c r="D4" s="12"/>
      <c r="E4" s="12"/>
      <c r="F4" s="12"/>
      <c r="G4" s="13"/>
      <c r="H4" s="13"/>
      <c r="I4" s="13"/>
      <c r="J4" s="13"/>
      <c r="K4" s="13"/>
      <c r="L4" s="13"/>
      <c r="M4" s="13"/>
      <c r="N4" s="11">
        <v>0</v>
      </c>
      <c r="O4" s="14">
        <v>0</v>
      </c>
      <c r="P4" s="11">
        <v>0</v>
      </c>
      <c r="Q4" s="11">
        <v>0</v>
      </c>
      <c r="R4" s="11">
        <v>0</v>
      </c>
      <c r="S4" s="11">
        <v>0</v>
      </c>
      <c r="T4" s="11">
        <v>0</v>
      </c>
    </row>
    <row r="5" spans="1:28" s="15" customFormat="1" ht="11.4" x14ac:dyDescent="0.2">
      <c r="A5" s="124"/>
      <c r="B5" s="18"/>
      <c r="C5" s="12"/>
      <c r="D5" s="12"/>
      <c r="E5" s="12"/>
      <c r="F5" s="12"/>
      <c r="G5" s="13"/>
      <c r="H5" s="13"/>
      <c r="I5" s="13"/>
      <c r="J5" s="13"/>
      <c r="K5" s="13"/>
      <c r="L5" s="13"/>
      <c r="M5" s="13"/>
      <c r="N5" s="11">
        <v>0</v>
      </c>
      <c r="O5" s="14">
        <v>0</v>
      </c>
      <c r="P5" s="11">
        <v>0</v>
      </c>
      <c r="Q5" s="11">
        <v>0</v>
      </c>
      <c r="R5" s="11">
        <v>0</v>
      </c>
      <c r="S5" s="11">
        <v>0</v>
      </c>
      <c r="T5" s="11">
        <v>0</v>
      </c>
    </row>
    <row r="6" spans="1:28" s="15" customFormat="1" ht="11.4" x14ac:dyDescent="0.2">
      <c r="A6" s="124"/>
      <c r="B6" s="18"/>
      <c r="C6" s="12"/>
      <c r="D6" s="12"/>
      <c r="E6" s="12"/>
      <c r="F6" s="12"/>
      <c r="G6" s="13"/>
      <c r="H6" s="13"/>
      <c r="I6" s="13"/>
      <c r="J6" s="13"/>
      <c r="K6" s="13"/>
      <c r="L6" s="13"/>
      <c r="M6" s="13"/>
      <c r="N6" s="11">
        <v>0</v>
      </c>
      <c r="O6" s="14">
        <v>0</v>
      </c>
      <c r="P6" s="11">
        <v>0</v>
      </c>
      <c r="Q6" s="11">
        <v>0</v>
      </c>
      <c r="R6" s="11">
        <v>0</v>
      </c>
      <c r="S6" s="11">
        <v>0</v>
      </c>
      <c r="T6" s="11">
        <v>0</v>
      </c>
    </row>
    <row r="7" spans="1:28" s="15" customFormat="1" ht="11.4" x14ac:dyDescent="0.2">
      <c r="A7" s="124"/>
      <c r="B7" s="18"/>
      <c r="C7" s="12"/>
      <c r="D7" s="12"/>
      <c r="E7" s="12"/>
      <c r="F7" s="12"/>
      <c r="G7" s="13"/>
      <c r="H7" s="13"/>
      <c r="I7" s="13"/>
      <c r="J7" s="13"/>
      <c r="K7" s="13"/>
      <c r="L7" s="13"/>
      <c r="M7" s="13"/>
      <c r="N7" s="11">
        <v>0</v>
      </c>
      <c r="O7" s="14">
        <v>0</v>
      </c>
      <c r="P7" s="11">
        <v>0</v>
      </c>
      <c r="Q7" s="11">
        <v>0</v>
      </c>
      <c r="R7" s="11">
        <v>0</v>
      </c>
      <c r="S7" s="11">
        <v>0</v>
      </c>
      <c r="T7" s="11">
        <v>0</v>
      </c>
    </row>
    <row r="8" spans="1:28" s="15" customFormat="1" ht="11.4" x14ac:dyDescent="0.2">
      <c r="A8" s="124"/>
      <c r="B8" s="18"/>
      <c r="C8" s="12"/>
      <c r="D8" s="12"/>
      <c r="E8" s="12"/>
      <c r="F8" s="12"/>
      <c r="G8" s="13"/>
      <c r="H8" s="13"/>
      <c r="I8" s="13"/>
      <c r="J8" s="13"/>
      <c r="K8" s="13"/>
      <c r="L8" s="13"/>
      <c r="M8" s="13"/>
      <c r="N8" s="11">
        <v>0</v>
      </c>
      <c r="O8" s="14">
        <v>0</v>
      </c>
      <c r="P8" s="11">
        <v>0</v>
      </c>
      <c r="Q8" s="11">
        <v>0</v>
      </c>
      <c r="R8" s="11">
        <v>0</v>
      </c>
      <c r="S8" s="11">
        <v>0</v>
      </c>
      <c r="T8" s="11">
        <v>0</v>
      </c>
    </row>
    <row r="9" spans="1:28" s="15" customFormat="1" ht="11.4" x14ac:dyDescent="0.2">
      <c r="A9" s="124"/>
      <c r="B9" s="18"/>
      <c r="C9" s="12"/>
      <c r="D9" s="12"/>
      <c r="E9" s="12"/>
      <c r="F9" s="12"/>
      <c r="G9" s="13"/>
      <c r="H9" s="13"/>
      <c r="I9" s="13"/>
      <c r="J9" s="13"/>
      <c r="K9" s="13"/>
      <c r="L9" s="13"/>
      <c r="M9" s="13"/>
      <c r="N9" s="11">
        <v>0</v>
      </c>
      <c r="O9" s="14">
        <v>0</v>
      </c>
      <c r="P9" s="11">
        <v>0</v>
      </c>
      <c r="Q9" s="11">
        <v>0</v>
      </c>
      <c r="R9" s="11">
        <v>0</v>
      </c>
      <c r="S9" s="11">
        <v>0</v>
      </c>
      <c r="T9" s="11">
        <v>0</v>
      </c>
    </row>
    <row r="10" spans="1:28" s="15" customFormat="1" ht="11.4" x14ac:dyDescent="0.2">
      <c r="A10" s="125"/>
      <c r="B10" s="18"/>
      <c r="C10" s="12"/>
      <c r="D10" s="12"/>
      <c r="E10" s="12"/>
      <c r="F10" s="12"/>
      <c r="G10" s="13"/>
      <c r="H10" s="13"/>
      <c r="I10" s="13"/>
      <c r="J10" s="13"/>
      <c r="K10" s="13"/>
      <c r="L10" s="13"/>
      <c r="M10" s="13"/>
      <c r="N10" s="11">
        <v>0</v>
      </c>
      <c r="O10" s="14">
        <v>0</v>
      </c>
      <c r="P10" s="11">
        <v>0</v>
      </c>
      <c r="Q10" s="11">
        <v>0</v>
      </c>
      <c r="R10" s="11">
        <v>0</v>
      </c>
      <c r="S10" s="11">
        <v>0</v>
      </c>
      <c r="T10" s="11">
        <v>0</v>
      </c>
    </row>
    <row r="11" spans="1:28" s="15" customFormat="1" ht="11.4" x14ac:dyDescent="0.2">
      <c r="A11" s="125"/>
      <c r="B11" s="18"/>
      <c r="C11" s="12"/>
      <c r="D11" s="12"/>
      <c r="E11" s="12"/>
      <c r="F11" s="12"/>
      <c r="G11" s="13"/>
      <c r="H11" s="13"/>
      <c r="I11" s="13"/>
      <c r="J11" s="13"/>
      <c r="K11" s="13"/>
      <c r="L11" s="13"/>
      <c r="M11" s="13"/>
      <c r="N11" s="11">
        <v>0</v>
      </c>
      <c r="O11" s="14">
        <v>0</v>
      </c>
      <c r="P11" s="11">
        <v>0</v>
      </c>
      <c r="Q11" s="11">
        <v>0</v>
      </c>
      <c r="R11" s="11">
        <v>0</v>
      </c>
      <c r="S11" s="11">
        <v>0</v>
      </c>
      <c r="T11" s="11">
        <v>0</v>
      </c>
    </row>
    <row r="12" spans="1:28" s="15" customFormat="1" ht="11.4" x14ac:dyDescent="0.2">
      <c r="A12" s="125"/>
      <c r="B12" s="18"/>
      <c r="C12" s="12"/>
      <c r="D12" s="12"/>
      <c r="E12" s="12"/>
      <c r="F12" s="12"/>
      <c r="G12" s="13"/>
      <c r="H12" s="13"/>
      <c r="I12" s="13"/>
      <c r="J12" s="13"/>
      <c r="K12" s="13"/>
      <c r="L12" s="13"/>
      <c r="M12" s="13"/>
      <c r="N12" s="11">
        <v>0</v>
      </c>
      <c r="O12" s="14">
        <v>0</v>
      </c>
      <c r="P12" s="11">
        <v>0</v>
      </c>
      <c r="Q12" s="11">
        <v>0</v>
      </c>
      <c r="R12" s="11">
        <v>0</v>
      </c>
      <c r="S12" s="11">
        <v>0</v>
      </c>
      <c r="T12" s="11">
        <v>0</v>
      </c>
    </row>
    <row r="13" spans="1:28" s="15" customFormat="1" ht="11.4" x14ac:dyDescent="0.2">
      <c r="A13" s="125"/>
      <c r="B13" s="18"/>
      <c r="C13" s="12"/>
      <c r="D13" s="12"/>
      <c r="E13" s="12"/>
      <c r="F13" s="12"/>
      <c r="G13" s="13"/>
      <c r="H13" s="13"/>
      <c r="I13" s="13"/>
      <c r="J13" s="13"/>
      <c r="K13" s="13"/>
      <c r="L13" s="13"/>
      <c r="M13" s="13"/>
      <c r="N13" s="11">
        <v>0</v>
      </c>
      <c r="O13" s="14">
        <v>0</v>
      </c>
      <c r="P13" s="11">
        <v>0</v>
      </c>
      <c r="Q13" s="11">
        <v>0</v>
      </c>
      <c r="R13" s="11">
        <v>0</v>
      </c>
      <c r="S13" s="11">
        <v>0</v>
      </c>
      <c r="T13" s="11">
        <v>0</v>
      </c>
    </row>
    <row r="14" spans="1:28" s="15" customFormat="1" ht="11.4" x14ac:dyDescent="0.2">
      <c r="A14" s="3"/>
      <c r="B14" s="18"/>
      <c r="C14" s="12"/>
      <c r="D14" s="12"/>
      <c r="E14" s="12"/>
      <c r="F14" s="12"/>
      <c r="G14" s="13"/>
      <c r="H14" s="13"/>
      <c r="I14" s="13"/>
      <c r="J14" s="13"/>
      <c r="K14" s="13"/>
      <c r="L14" s="13"/>
      <c r="M14" s="13"/>
      <c r="N14" s="11">
        <v>0</v>
      </c>
      <c r="O14" s="14">
        <v>0</v>
      </c>
      <c r="P14" s="11">
        <v>0</v>
      </c>
      <c r="Q14" s="11">
        <v>0</v>
      </c>
      <c r="R14" s="11">
        <v>0</v>
      </c>
      <c r="S14" s="11">
        <v>0</v>
      </c>
      <c r="T14" s="11">
        <v>0</v>
      </c>
    </row>
    <row r="15" spans="1:28" s="15" customFormat="1" ht="11.4" x14ac:dyDescent="0.2">
      <c r="A15" s="3"/>
      <c r="B15" s="18"/>
      <c r="C15" s="12"/>
      <c r="D15" s="12"/>
      <c r="E15" s="12"/>
      <c r="F15" s="12"/>
      <c r="G15" s="13"/>
      <c r="H15" s="13"/>
      <c r="I15" s="13"/>
      <c r="J15" s="13"/>
      <c r="K15" s="13"/>
      <c r="L15" s="13"/>
      <c r="M15" s="13"/>
      <c r="N15" s="11">
        <v>0</v>
      </c>
      <c r="O15" s="14">
        <v>0</v>
      </c>
      <c r="P15" s="11">
        <v>0</v>
      </c>
      <c r="Q15" s="11">
        <v>0</v>
      </c>
      <c r="R15" s="11">
        <v>0</v>
      </c>
      <c r="S15" s="11">
        <v>0</v>
      </c>
      <c r="T15" s="11">
        <v>0</v>
      </c>
    </row>
    <row r="16" spans="1:28" s="15" customFormat="1" ht="11.4" x14ac:dyDescent="0.2">
      <c r="A16" s="3"/>
      <c r="B16" s="18"/>
      <c r="C16" s="12"/>
      <c r="D16" s="12"/>
      <c r="E16" s="12"/>
      <c r="F16" s="12"/>
      <c r="G16" s="13"/>
      <c r="H16" s="13"/>
      <c r="I16" s="13"/>
      <c r="J16" s="13"/>
      <c r="K16" s="13"/>
      <c r="L16" s="13"/>
      <c r="M16" s="13"/>
      <c r="N16" s="11">
        <v>0</v>
      </c>
      <c r="O16" s="14">
        <v>0</v>
      </c>
      <c r="P16" s="11">
        <v>0</v>
      </c>
      <c r="Q16" s="11">
        <v>0</v>
      </c>
      <c r="R16" s="11">
        <v>0</v>
      </c>
      <c r="S16" s="11">
        <v>0</v>
      </c>
      <c r="T16" s="11">
        <v>0</v>
      </c>
    </row>
    <row r="17" spans="1:20" s="15" customFormat="1" ht="11.4" x14ac:dyDescent="0.2">
      <c r="A17" s="3"/>
      <c r="B17" s="18"/>
      <c r="C17" s="12"/>
      <c r="D17" s="12"/>
      <c r="E17" s="12"/>
      <c r="F17" s="12"/>
      <c r="G17" s="13"/>
      <c r="H17" s="13"/>
      <c r="I17" s="13"/>
      <c r="J17" s="13"/>
      <c r="K17" s="13"/>
      <c r="L17" s="13"/>
      <c r="M17" s="13"/>
      <c r="N17" s="11">
        <v>0</v>
      </c>
      <c r="O17" s="14">
        <v>0</v>
      </c>
      <c r="P17" s="11">
        <v>0</v>
      </c>
      <c r="Q17" s="11">
        <v>0</v>
      </c>
      <c r="R17" s="11">
        <v>0</v>
      </c>
      <c r="S17" s="11">
        <v>0</v>
      </c>
      <c r="T17" s="11">
        <v>0</v>
      </c>
    </row>
    <row r="18" spans="1:20" s="15" customFormat="1" ht="11.4" x14ac:dyDescent="0.2">
      <c r="A18" s="3"/>
      <c r="B18" s="18"/>
      <c r="C18" s="12"/>
      <c r="D18" s="12"/>
      <c r="E18" s="12"/>
      <c r="F18" s="12"/>
      <c r="G18" s="13"/>
      <c r="H18" s="13"/>
      <c r="I18" s="13"/>
      <c r="J18" s="13"/>
      <c r="K18" s="13"/>
      <c r="L18" s="13"/>
      <c r="M18" s="13"/>
      <c r="N18" s="11">
        <v>0</v>
      </c>
      <c r="O18" s="14">
        <v>0</v>
      </c>
      <c r="P18" s="11">
        <v>0</v>
      </c>
      <c r="Q18" s="11">
        <v>0</v>
      </c>
      <c r="R18" s="11">
        <v>0</v>
      </c>
      <c r="S18" s="11">
        <v>0</v>
      </c>
      <c r="T18" s="11">
        <v>0</v>
      </c>
    </row>
    <row r="19" spans="1:20" s="15" customFormat="1" ht="11.4" x14ac:dyDescent="0.2">
      <c r="A19" s="3"/>
      <c r="B19" s="18"/>
      <c r="C19" s="12"/>
      <c r="D19" s="12"/>
      <c r="E19" s="12"/>
      <c r="F19" s="12"/>
      <c r="G19" s="13"/>
      <c r="H19" s="13"/>
      <c r="I19" s="13"/>
      <c r="J19" s="13"/>
      <c r="K19" s="13"/>
      <c r="L19" s="13"/>
      <c r="M19" s="13"/>
      <c r="N19" s="11">
        <v>0</v>
      </c>
      <c r="O19" s="14">
        <v>0</v>
      </c>
      <c r="P19" s="11">
        <v>0</v>
      </c>
      <c r="Q19" s="11">
        <v>0</v>
      </c>
      <c r="R19" s="11">
        <v>0</v>
      </c>
      <c r="S19" s="11">
        <v>0</v>
      </c>
      <c r="T19" s="11">
        <v>0</v>
      </c>
    </row>
    <row r="20" spans="1:20" s="15" customFormat="1" ht="11.4" x14ac:dyDescent="0.2">
      <c r="A20" s="3"/>
      <c r="B20" s="18"/>
      <c r="C20" s="12"/>
      <c r="D20" s="12"/>
      <c r="E20" s="12"/>
      <c r="F20" s="12"/>
      <c r="G20" s="13"/>
      <c r="H20" s="13"/>
      <c r="I20" s="13"/>
      <c r="J20" s="13"/>
      <c r="K20" s="13"/>
      <c r="L20" s="13"/>
      <c r="M20" s="13"/>
      <c r="N20" s="11">
        <v>0</v>
      </c>
      <c r="O20" s="14">
        <v>0</v>
      </c>
      <c r="P20" s="11">
        <v>0</v>
      </c>
      <c r="Q20" s="11">
        <v>0</v>
      </c>
      <c r="R20" s="11">
        <v>0</v>
      </c>
      <c r="S20" s="11">
        <v>0</v>
      </c>
      <c r="T20" s="11">
        <v>0</v>
      </c>
    </row>
    <row r="21" spans="1:20" s="15" customFormat="1" ht="11.4" x14ac:dyDescent="0.2">
      <c r="A21" s="3"/>
      <c r="B21" s="18"/>
      <c r="C21" s="12"/>
      <c r="D21" s="12"/>
      <c r="E21" s="12"/>
      <c r="F21" s="12"/>
      <c r="G21" s="13"/>
      <c r="H21" s="13"/>
      <c r="I21" s="13"/>
      <c r="J21" s="13"/>
      <c r="K21" s="13"/>
      <c r="L21" s="13"/>
      <c r="M21" s="13"/>
      <c r="N21" s="11">
        <v>0</v>
      </c>
      <c r="O21" s="14">
        <v>0</v>
      </c>
      <c r="P21" s="11">
        <v>0</v>
      </c>
      <c r="Q21" s="11">
        <v>0</v>
      </c>
      <c r="R21" s="11">
        <v>0</v>
      </c>
      <c r="S21" s="11">
        <v>0</v>
      </c>
      <c r="T21" s="11">
        <v>0</v>
      </c>
    </row>
    <row r="22" spans="1:20" s="15" customFormat="1" ht="11.4" x14ac:dyDescent="0.2">
      <c r="A22" s="3"/>
      <c r="B22" s="18"/>
      <c r="C22" s="12"/>
      <c r="D22" s="12"/>
      <c r="E22" s="12"/>
      <c r="F22" s="12"/>
      <c r="G22" s="13"/>
      <c r="H22" s="13"/>
      <c r="I22" s="13"/>
      <c r="J22" s="13"/>
      <c r="K22" s="13"/>
      <c r="L22" s="13"/>
      <c r="M22" s="13"/>
      <c r="N22" s="11">
        <v>0</v>
      </c>
      <c r="O22" s="14">
        <v>0</v>
      </c>
      <c r="P22" s="11">
        <v>0</v>
      </c>
      <c r="Q22" s="11">
        <v>0</v>
      </c>
      <c r="R22" s="11">
        <v>0</v>
      </c>
      <c r="S22" s="11">
        <v>0</v>
      </c>
      <c r="T22" s="11">
        <v>0</v>
      </c>
    </row>
    <row r="23" spans="1:20" s="15" customFormat="1" ht="11.4" x14ac:dyDescent="0.2">
      <c r="A23" s="3"/>
      <c r="B23" s="18"/>
      <c r="C23" s="12"/>
      <c r="D23" s="12"/>
      <c r="E23" s="12"/>
      <c r="F23" s="12"/>
      <c r="G23" s="13"/>
      <c r="H23" s="13"/>
      <c r="I23" s="13"/>
      <c r="J23" s="13"/>
      <c r="K23" s="13"/>
      <c r="L23" s="13"/>
      <c r="M23" s="13"/>
      <c r="N23" s="11">
        <v>0</v>
      </c>
      <c r="O23" s="14">
        <v>0</v>
      </c>
      <c r="P23" s="11">
        <v>0</v>
      </c>
      <c r="Q23" s="11">
        <v>0</v>
      </c>
      <c r="R23" s="11">
        <v>0</v>
      </c>
      <c r="S23" s="11">
        <v>0</v>
      </c>
      <c r="T23" s="11">
        <v>0</v>
      </c>
    </row>
    <row r="24" spans="1:20" s="15" customFormat="1" ht="11.4" x14ac:dyDescent="0.2">
      <c r="A24" s="3"/>
      <c r="B24" s="18"/>
      <c r="C24" s="12"/>
      <c r="D24" s="12"/>
      <c r="E24" s="12"/>
      <c r="F24" s="12"/>
      <c r="G24" s="13"/>
      <c r="H24" s="13"/>
      <c r="I24" s="13"/>
      <c r="J24" s="13"/>
      <c r="K24" s="13"/>
      <c r="L24" s="13"/>
      <c r="M24" s="13"/>
      <c r="N24" s="11">
        <v>0</v>
      </c>
      <c r="O24" s="14">
        <v>0</v>
      </c>
      <c r="P24" s="11">
        <v>0</v>
      </c>
      <c r="Q24" s="11">
        <v>0</v>
      </c>
      <c r="R24" s="11">
        <v>0</v>
      </c>
      <c r="S24" s="11">
        <v>0</v>
      </c>
      <c r="T24" s="11">
        <v>0</v>
      </c>
    </row>
    <row r="25" spans="1:20" s="15" customFormat="1" ht="11.4" x14ac:dyDescent="0.2">
      <c r="A25" s="3"/>
      <c r="B25" s="18"/>
      <c r="C25" s="12"/>
      <c r="D25" s="12"/>
      <c r="E25" s="12"/>
      <c r="F25" s="12"/>
      <c r="G25" s="13"/>
      <c r="H25" s="13"/>
      <c r="I25" s="13"/>
      <c r="J25" s="13"/>
      <c r="K25" s="13"/>
      <c r="L25" s="13"/>
      <c r="M25" s="13"/>
      <c r="N25" s="11">
        <v>0</v>
      </c>
      <c r="O25" s="14">
        <v>0</v>
      </c>
      <c r="P25" s="11">
        <v>0</v>
      </c>
      <c r="Q25" s="11">
        <v>0</v>
      </c>
      <c r="R25" s="11">
        <v>0</v>
      </c>
      <c r="S25" s="11">
        <v>0</v>
      </c>
      <c r="T25" s="11">
        <v>0</v>
      </c>
    </row>
    <row r="26" spans="1:20" s="15" customFormat="1" ht="11.4" x14ac:dyDescent="0.2">
      <c r="A26" s="3"/>
      <c r="B26" s="18"/>
      <c r="C26" s="12"/>
      <c r="D26" s="12"/>
      <c r="E26" s="12"/>
      <c r="F26" s="12"/>
      <c r="G26" s="13"/>
      <c r="H26" s="13"/>
      <c r="I26" s="13"/>
      <c r="J26" s="13"/>
      <c r="K26" s="13"/>
      <c r="L26" s="13"/>
      <c r="M26" s="13"/>
      <c r="N26" s="11">
        <v>0</v>
      </c>
      <c r="O26" s="14">
        <v>0</v>
      </c>
      <c r="P26" s="11">
        <v>0</v>
      </c>
      <c r="Q26" s="11">
        <v>0</v>
      </c>
      <c r="R26" s="11">
        <v>0</v>
      </c>
      <c r="S26" s="11">
        <v>0</v>
      </c>
      <c r="T26" s="11">
        <v>0</v>
      </c>
    </row>
    <row r="27" spans="1:20" s="15" customFormat="1" ht="11.4" x14ac:dyDescent="0.2">
      <c r="A27" s="3"/>
      <c r="B27" s="18"/>
      <c r="C27" s="12"/>
      <c r="D27" s="12"/>
      <c r="E27" s="12"/>
      <c r="F27" s="12"/>
      <c r="G27" s="13"/>
      <c r="H27" s="13"/>
      <c r="I27" s="13"/>
      <c r="J27" s="13"/>
      <c r="K27" s="13"/>
      <c r="L27" s="13"/>
      <c r="M27" s="13"/>
      <c r="N27" s="11">
        <v>0</v>
      </c>
      <c r="O27" s="14">
        <v>0</v>
      </c>
      <c r="P27" s="11">
        <v>0</v>
      </c>
      <c r="Q27" s="11">
        <v>0</v>
      </c>
      <c r="R27" s="11">
        <v>0</v>
      </c>
      <c r="S27" s="11">
        <v>0</v>
      </c>
      <c r="T27" s="11">
        <v>0</v>
      </c>
    </row>
    <row r="28" spans="1:20" s="15" customFormat="1" ht="11.4" x14ac:dyDescent="0.2">
      <c r="A28" s="3"/>
      <c r="B28" s="18"/>
      <c r="C28" s="12"/>
      <c r="D28" s="12"/>
      <c r="E28" s="12"/>
      <c r="F28" s="12"/>
      <c r="G28" s="13"/>
      <c r="H28" s="13"/>
      <c r="I28" s="13"/>
      <c r="J28" s="13"/>
      <c r="K28" s="13"/>
      <c r="L28" s="13"/>
      <c r="M28" s="13"/>
      <c r="N28" s="11">
        <v>0</v>
      </c>
      <c r="O28" s="14">
        <v>0</v>
      </c>
      <c r="P28" s="11">
        <v>0</v>
      </c>
      <c r="Q28" s="11">
        <v>0</v>
      </c>
      <c r="R28" s="11">
        <v>0</v>
      </c>
      <c r="S28" s="11">
        <v>0</v>
      </c>
      <c r="T28" s="11">
        <v>0</v>
      </c>
    </row>
    <row r="29" spans="1:20" s="15" customFormat="1" ht="11.4" x14ac:dyDescent="0.2">
      <c r="A29" s="3"/>
      <c r="B29" s="18"/>
      <c r="C29" s="10"/>
      <c r="D29" s="10"/>
      <c r="E29" s="10"/>
      <c r="F29" s="10"/>
      <c r="G29" s="13"/>
      <c r="H29" s="13"/>
      <c r="I29" s="13"/>
      <c r="J29" s="13"/>
      <c r="K29" s="13"/>
      <c r="L29" s="13"/>
      <c r="M29" s="13"/>
      <c r="N29" s="11">
        <v>0</v>
      </c>
      <c r="O29" s="14">
        <v>0</v>
      </c>
      <c r="P29" s="11">
        <v>0</v>
      </c>
      <c r="Q29" s="11">
        <v>0</v>
      </c>
      <c r="R29" s="11">
        <v>0</v>
      </c>
      <c r="S29" s="11">
        <v>0</v>
      </c>
      <c r="T29" s="11">
        <v>0</v>
      </c>
    </row>
    <row r="30" spans="1:20" s="15" customFormat="1" ht="11.4" x14ac:dyDescent="0.2">
      <c r="A30" s="3"/>
      <c r="B30" s="18"/>
      <c r="C30" s="10"/>
      <c r="D30" s="10"/>
      <c r="E30" s="10"/>
      <c r="F30" s="10"/>
      <c r="G30" s="13"/>
      <c r="H30" s="13"/>
      <c r="I30" s="13"/>
      <c r="J30" s="13"/>
      <c r="K30" s="13"/>
      <c r="L30" s="13"/>
      <c r="M30" s="13"/>
      <c r="N30" s="11">
        <v>0</v>
      </c>
      <c r="O30" s="14">
        <v>0</v>
      </c>
      <c r="P30" s="11">
        <v>0</v>
      </c>
      <c r="Q30" s="11">
        <v>0</v>
      </c>
      <c r="R30" s="11">
        <v>0</v>
      </c>
      <c r="S30" s="11">
        <v>0</v>
      </c>
      <c r="T30" s="11">
        <v>0</v>
      </c>
    </row>
    <row r="31" spans="1:20" s="15" customFormat="1" ht="11.4" x14ac:dyDescent="0.2">
      <c r="A31" s="3"/>
      <c r="B31" s="18"/>
      <c r="C31" s="10"/>
      <c r="D31" s="10"/>
      <c r="E31" s="10"/>
      <c r="F31" s="10"/>
      <c r="G31" s="13"/>
      <c r="H31" s="13"/>
      <c r="I31" s="13"/>
      <c r="J31" s="13"/>
      <c r="K31" s="13"/>
      <c r="L31" s="13"/>
      <c r="M31" s="13"/>
      <c r="N31" s="11">
        <v>0</v>
      </c>
      <c r="O31" s="14">
        <v>0</v>
      </c>
      <c r="P31" s="11">
        <v>0</v>
      </c>
      <c r="Q31" s="11">
        <v>0</v>
      </c>
      <c r="R31" s="11">
        <v>0</v>
      </c>
      <c r="S31" s="11">
        <v>0</v>
      </c>
      <c r="T31" s="11">
        <v>0</v>
      </c>
    </row>
    <row r="32" spans="1:20" s="15" customFormat="1" ht="11.4" x14ac:dyDescent="0.2">
      <c r="A32" s="3"/>
      <c r="B32" s="18"/>
      <c r="C32" s="10"/>
      <c r="D32" s="10"/>
      <c r="E32" s="10"/>
      <c r="F32" s="10"/>
      <c r="G32" s="13"/>
      <c r="H32" s="13"/>
      <c r="I32" s="13"/>
      <c r="J32" s="13"/>
      <c r="K32" s="13"/>
      <c r="L32" s="13"/>
      <c r="M32" s="13"/>
      <c r="N32" s="11">
        <v>0</v>
      </c>
      <c r="O32" s="14">
        <v>0</v>
      </c>
      <c r="P32" s="11">
        <v>0</v>
      </c>
      <c r="Q32" s="11">
        <v>0</v>
      </c>
      <c r="R32" s="11">
        <v>0</v>
      </c>
      <c r="S32" s="11">
        <v>0</v>
      </c>
      <c r="T32" s="11">
        <v>0</v>
      </c>
    </row>
    <row r="33" spans="1:20" s="15" customFormat="1" ht="11.4" x14ac:dyDescent="0.2">
      <c r="A33" s="3"/>
      <c r="B33" s="18"/>
      <c r="C33" s="10"/>
      <c r="D33" s="10"/>
      <c r="E33" s="10"/>
      <c r="F33" s="10"/>
      <c r="G33" s="13"/>
      <c r="H33" s="13"/>
      <c r="I33" s="13"/>
      <c r="J33" s="13"/>
      <c r="K33" s="13"/>
      <c r="L33" s="13"/>
      <c r="M33" s="13"/>
      <c r="N33" s="11">
        <v>0</v>
      </c>
      <c r="O33" s="14">
        <v>0</v>
      </c>
      <c r="P33" s="11">
        <v>0</v>
      </c>
      <c r="Q33" s="11">
        <v>0</v>
      </c>
      <c r="R33" s="11">
        <v>0</v>
      </c>
      <c r="S33" s="11">
        <v>0</v>
      </c>
      <c r="T33" s="11">
        <v>0</v>
      </c>
    </row>
    <row r="34" spans="1:20" s="15" customFormat="1" ht="11.4" x14ac:dyDescent="0.2">
      <c r="A34" s="3"/>
      <c r="B34" s="18"/>
      <c r="C34" s="10"/>
      <c r="D34" s="10"/>
      <c r="E34" s="10"/>
      <c r="F34" s="10"/>
      <c r="G34" s="13"/>
      <c r="H34" s="13"/>
      <c r="I34" s="13"/>
      <c r="J34" s="13"/>
      <c r="K34" s="13"/>
      <c r="L34" s="13"/>
      <c r="M34" s="13"/>
      <c r="N34" s="11">
        <v>0</v>
      </c>
      <c r="O34" s="14">
        <v>0</v>
      </c>
      <c r="P34" s="11">
        <v>0</v>
      </c>
      <c r="Q34" s="11">
        <v>0</v>
      </c>
      <c r="R34" s="11">
        <v>0</v>
      </c>
      <c r="S34" s="11">
        <v>0</v>
      </c>
      <c r="T34" s="11">
        <v>0</v>
      </c>
    </row>
    <row r="35" spans="1:20" s="15" customFormat="1" ht="11.4" x14ac:dyDescent="0.2">
      <c r="A35" s="3"/>
      <c r="B35" s="18"/>
      <c r="C35" s="10"/>
      <c r="D35" s="10"/>
      <c r="E35" s="10"/>
      <c r="F35" s="10"/>
      <c r="G35" s="13"/>
      <c r="H35" s="13"/>
      <c r="I35" s="13"/>
      <c r="J35" s="13"/>
      <c r="K35" s="13"/>
      <c r="L35" s="13"/>
      <c r="M35" s="13"/>
      <c r="N35" s="11">
        <v>0</v>
      </c>
      <c r="O35" s="14">
        <v>0</v>
      </c>
      <c r="P35" s="11">
        <v>0</v>
      </c>
      <c r="Q35" s="11">
        <v>0</v>
      </c>
      <c r="R35" s="11">
        <v>0</v>
      </c>
      <c r="S35" s="11">
        <v>0</v>
      </c>
      <c r="T35" s="11">
        <v>0</v>
      </c>
    </row>
    <row r="36" spans="1:20" s="15" customFormat="1" ht="11.4" x14ac:dyDescent="0.2">
      <c r="A36" s="3"/>
      <c r="B36" s="18"/>
      <c r="C36" s="10"/>
      <c r="D36" s="10"/>
      <c r="E36" s="10"/>
      <c r="F36" s="10"/>
      <c r="G36" s="13"/>
      <c r="H36" s="13"/>
      <c r="I36" s="13"/>
      <c r="J36" s="13"/>
      <c r="K36" s="13"/>
      <c r="L36" s="13"/>
      <c r="M36" s="13"/>
      <c r="N36" s="11">
        <v>0</v>
      </c>
      <c r="O36" s="14">
        <v>0</v>
      </c>
      <c r="P36" s="11">
        <v>0</v>
      </c>
      <c r="Q36" s="11">
        <v>0</v>
      </c>
      <c r="R36" s="11">
        <v>0</v>
      </c>
      <c r="S36" s="11">
        <v>0</v>
      </c>
      <c r="T36" s="11">
        <v>0</v>
      </c>
    </row>
    <row r="37" spans="1:20" s="15" customFormat="1" ht="11.4" x14ac:dyDescent="0.2">
      <c r="A37" s="3"/>
      <c r="B37" s="18"/>
      <c r="C37" s="10"/>
      <c r="D37" s="10"/>
      <c r="E37" s="10"/>
      <c r="F37" s="10"/>
      <c r="G37" s="13"/>
      <c r="H37" s="13"/>
      <c r="I37" s="13"/>
      <c r="J37" s="13"/>
      <c r="K37" s="13"/>
      <c r="L37" s="13"/>
      <c r="M37" s="13"/>
      <c r="N37" s="11">
        <v>0</v>
      </c>
      <c r="O37" s="14">
        <v>0</v>
      </c>
      <c r="P37" s="11">
        <v>0</v>
      </c>
      <c r="Q37" s="11">
        <v>0</v>
      </c>
      <c r="R37" s="11">
        <v>0</v>
      </c>
      <c r="S37" s="11">
        <v>0</v>
      </c>
      <c r="T37" s="11">
        <v>0</v>
      </c>
    </row>
    <row r="38" spans="1:20" s="15" customFormat="1" ht="11.4" x14ac:dyDescent="0.2">
      <c r="A38" s="3"/>
      <c r="B38" s="18"/>
      <c r="C38" s="10"/>
      <c r="D38" s="10"/>
      <c r="E38" s="10"/>
      <c r="F38" s="10"/>
      <c r="G38" s="13"/>
      <c r="H38" s="13"/>
      <c r="I38" s="13"/>
      <c r="J38" s="13"/>
      <c r="K38" s="13"/>
      <c r="L38" s="13"/>
      <c r="M38" s="13"/>
      <c r="N38" s="11">
        <v>0</v>
      </c>
      <c r="O38" s="14">
        <v>0</v>
      </c>
      <c r="P38" s="11">
        <v>0</v>
      </c>
      <c r="Q38" s="11">
        <v>0</v>
      </c>
      <c r="R38" s="11">
        <v>0</v>
      </c>
      <c r="S38" s="11">
        <v>0</v>
      </c>
      <c r="T38" s="11">
        <v>0</v>
      </c>
    </row>
    <row r="39" spans="1:20" s="15" customFormat="1" ht="11.4" x14ac:dyDescent="0.2">
      <c r="A39" s="3"/>
      <c r="B39" s="18"/>
      <c r="C39" s="10"/>
      <c r="D39" s="10"/>
      <c r="E39" s="10"/>
      <c r="F39" s="10"/>
      <c r="G39" s="13"/>
      <c r="H39" s="13"/>
      <c r="I39" s="13"/>
      <c r="J39" s="13"/>
      <c r="K39" s="13"/>
      <c r="L39" s="13"/>
      <c r="M39" s="13"/>
      <c r="N39" s="11">
        <v>0</v>
      </c>
      <c r="O39" s="14">
        <v>0</v>
      </c>
      <c r="P39" s="11">
        <v>0</v>
      </c>
      <c r="Q39" s="11">
        <v>0</v>
      </c>
      <c r="R39" s="11">
        <v>0</v>
      </c>
      <c r="S39" s="11">
        <v>0</v>
      </c>
      <c r="T39" s="11">
        <v>0</v>
      </c>
    </row>
    <row r="40" spans="1:20" s="15" customFormat="1" ht="11.4" x14ac:dyDescent="0.2">
      <c r="A40" s="3"/>
      <c r="B40" s="18"/>
      <c r="C40" s="10"/>
      <c r="D40" s="10"/>
      <c r="E40" s="10"/>
      <c r="F40" s="10"/>
      <c r="G40" s="13"/>
      <c r="H40" s="13"/>
      <c r="I40" s="13"/>
      <c r="J40" s="13"/>
      <c r="K40" s="13"/>
      <c r="L40" s="13"/>
      <c r="M40" s="13"/>
      <c r="N40" s="11">
        <v>0</v>
      </c>
      <c r="O40" s="14">
        <v>0</v>
      </c>
      <c r="P40" s="11">
        <v>0</v>
      </c>
      <c r="Q40" s="11">
        <v>0</v>
      </c>
      <c r="R40" s="11">
        <v>0</v>
      </c>
      <c r="S40" s="11">
        <v>0</v>
      </c>
      <c r="T40" s="11">
        <v>0</v>
      </c>
    </row>
    <row r="41" spans="1:20" s="15" customFormat="1" ht="11.4" x14ac:dyDescent="0.2">
      <c r="A41" s="3"/>
      <c r="B41" s="18"/>
      <c r="C41" s="10"/>
      <c r="D41" s="10"/>
      <c r="E41" s="10"/>
      <c r="F41" s="10"/>
      <c r="G41" s="13"/>
      <c r="H41" s="13"/>
      <c r="I41" s="13"/>
      <c r="J41" s="13"/>
      <c r="K41" s="13"/>
      <c r="L41" s="13"/>
      <c r="M41" s="13"/>
      <c r="N41" s="11">
        <v>0</v>
      </c>
      <c r="O41" s="14">
        <v>0</v>
      </c>
      <c r="P41" s="11">
        <v>0</v>
      </c>
      <c r="Q41" s="11">
        <v>0</v>
      </c>
      <c r="R41" s="11">
        <v>0</v>
      </c>
      <c r="S41" s="11">
        <v>0</v>
      </c>
      <c r="T41" s="11">
        <v>0</v>
      </c>
    </row>
    <row r="42" spans="1:20" s="15" customFormat="1" ht="11.4" x14ac:dyDescent="0.2">
      <c r="A42" s="3"/>
      <c r="B42" s="18"/>
      <c r="C42" s="10"/>
      <c r="D42" s="10"/>
      <c r="E42" s="10"/>
      <c r="F42" s="10"/>
      <c r="G42" s="13"/>
      <c r="H42" s="13"/>
      <c r="I42" s="13"/>
      <c r="J42" s="13"/>
      <c r="K42" s="13"/>
      <c r="L42" s="13"/>
      <c r="M42" s="13"/>
      <c r="N42" s="11">
        <v>0</v>
      </c>
      <c r="O42" s="14">
        <v>0</v>
      </c>
      <c r="P42" s="11">
        <v>0</v>
      </c>
      <c r="Q42" s="11">
        <v>0</v>
      </c>
      <c r="R42" s="11">
        <v>0</v>
      </c>
      <c r="S42" s="11">
        <v>0</v>
      </c>
      <c r="T42" s="11">
        <v>0</v>
      </c>
    </row>
    <row r="43" spans="1:20" s="15" customFormat="1" ht="11.4" x14ac:dyDescent="0.2">
      <c r="A43" s="3"/>
      <c r="B43" s="18"/>
      <c r="C43" s="10"/>
      <c r="D43" s="10"/>
      <c r="E43" s="10"/>
      <c r="F43" s="10"/>
      <c r="G43" s="13"/>
      <c r="H43" s="13"/>
      <c r="I43" s="13"/>
      <c r="J43" s="13"/>
      <c r="K43" s="13"/>
      <c r="L43" s="13"/>
      <c r="M43" s="13"/>
      <c r="N43" s="11">
        <v>0</v>
      </c>
      <c r="O43" s="14">
        <v>0</v>
      </c>
      <c r="P43" s="11">
        <v>0</v>
      </c>
      <c r="Q43" s="11">
        <v>0</v>
      </c>
      <c r="R43" s="11">
        <v>0</v>
      </c>
      <c r="S43" s="11">
        <v>0</v>
      </c>
      <c r="T43" s="11">
        <v>0</v>
      </c>
    </row>
    <row r="44" spans="1:20" s="15" customFormat="1" ht="11.4" x14ac:dyDescent="0.2">
      <c r="A44" s="3"/>
      <c r="B44" s="18"/>
      <c r="C44" s="10"/>
      <c r="D44" s="10"/>
      <c r="E44" s="10"/>
      <c r="F44" s="10"/>
      <c r="G44" s="13"/>
      <c r="H44" s="13"/>
      <c r="I44" s="13"/>
      <c r="J44" s="13"/>
      <c r="K44" s="13"/>
      <c r="L44" s="13"/>
      <c r="M44" s="13"/>
      <c r="N44" s="11">
        <v>0</v>
      </c>
      <c r="O44" s="14">
        <v>0</v>
      </c>
      <c r="P44" s="11">
        <v>0</v>
      </c>
      <c r="Q44" s="11">
        <v>0</v>
      </c>
      <c r="R44" s="11">
        <v>0</v>
      </c>
      <c r="S44" s="11">
        <v>0</v>
      </c>
      <c r="T44" s="11">
        <v>0</v>
      </c>
    </row>
    <row r="45" spans="1:20" s="15" customFormat="1" ht="11.4" x14ac:dyDescent="0.2">
      <c r="A45" s="3"/>
      <c r="B45" s="18"/>
      <c r="C45" s="10"/>
      <c r="D45" s="10"/>
      <c r="E45" s="10"/>
      <c r="F45" s="10"/>
      <c r="G45" s="13"/>
      <c r="H45" s="13"/>
      <c r="I45" s="13"/>
      <c r="J45" s="13"/>
      <c r="K45" s="13"/>
      <c r="L45" s="13"/>
      <c r="M45" s="13"/>
      <c r="N45" s="11">
        <v>0</v>
      </c>
      <c r="O45" s="14">
        <v>0</v>
      </c>
      <c r="P45" s="11">
        <v>0</v>
      </c>
      <c r="Q45" s="11">
        <v>0</v>
      </c>
      <c r="R45" s="11">
        <v>0</v>
      </c>
      <c r="S45" s="11">
        <v>0</v>
      </c>
      <c r="T45" s="11">
        <v>0</v>
      </c>
    </row>
    <row r="46" spans="1:20" s="15" customFormat="1" ht="11.4" x14ac:dyDescent="0.2">
      <c r="A46" s="3"/>
      <c r="B46" s="18"/>
      <c r="C46" s="10"/>
      <c r="D46" s="10"/>
      <c r="E46" s="10"/>
      <c r="F46" s="10"/>
      <c r="G46" s="13"/>
      <c r="H46" s="13"/>
      <c r="I46" s="13"/>
      <c r="J46" s="13"/>
      <c r="K46" s="13"/>
      <c r="L46" s="13"/>
      <c r="M46" s="13"/>
      <c r="N46" s="11">
        <v>0</v>
      </c>
      <c r="O46" s="14">
        <v>0</v>
      </c>
      <c r="P46" s="11">
        <v>0</v>
      </c>
      <c r="Q46" s="11">
        <v>0</v>
      </c>
      <c r="R46" s="11">
        <v>0</v>
      </c>
      <c r="S46" s="11">
        <v>0</v>
      </c>
      <c r="T46" s="11">
        <v>0</v>
      </c>
    </row>
    <row r="47" spans="1:20" s="15" customFormat="1" ht="11.4" x14ac:dyDescent="0.2">
      <c r="A47" s="3"/>
      <c r="B47" s="18"/>
      <c r="C47" s="10"/>
      <c r="D47" s="10"/>
      <c r="E47" s="10"/>
      <c r="F47" s="10"/>
      <c r="G47" s="13"/>
      <c r="H47" s="13"/>
      <c r="I47" s="13"/>
      <c r="J47" s="13"/>
      <c r="K47" s="13"/>
      <c r="L47" s="13"/>
      <c r="M47" s="13"/>
      <c r="N47" s="11">
        <v>0</v>
      </c>
      <c r="O47" s="14">
        <v>0</v>
      </c>
      <c r="P47" s="11">
        <v>0</v>
      </c>
      <c r="Q47" s="11">
        <v>0</v>
      </c>
      <c r="R47" s="11">
        <v>0</v>
      </c>
      <c r="S47" s="11">
        <v>0</v>
      </c>
      <c r="T47" s="11">
        <v>0</v>
      </c>
    </row>
    <row r="48" spans="1:20" s="15" customFormat="1" ht="11.4" x14ac:dyDescent="0.2">
      <c r="A48" s="3"/>
      <c r="B48" s="18"/>
      <c r="C48" s="10"/>
      <c r="D48" s="10"/>
      <c r="E48" s="10"/>
      <c r="F48" s="10"/>
      <c r="G48" s="13"/>
      <c r="H48" s="13"/>
      <c r="I48" s="13"/>
      <c r="J48" s="13"/>
      <c r="K48" s="13"/>
      <c r="L48" s="13"/>
      <c r="M48" s="13"/>
      <c r="N48" s="11">
        <v>0</v>
      </c>
      <c r="O48" s="14">
        <v>0</v>
      </c>
      <c r="P48" s="11">
        <v>0</v>
      </c>
      <c r="Q48" s="11">
        <v>0</v>
      </c>
      <c r="R48" s="11">
        <v>0</v>
      </c>
      <c r="S48" s="11">
        <v>0</v>
      </c>
      <c r="T48" s="11">
        <v>0</v>
      </c>
    </row>
    <row r="49" spans="1:20" s="15" customFormat="1" ht="11.4" x14ac:dyDescent="0.2">
      <c r="A49" s="3"/>
      <c r="B49" s="18"/>
      <c r="C49" s="10"/>
      <c r="D49" s="10"/>
      <c r="E49" s="10"/>
      <c r="F49" s="10"/>
      <c r="G49" s="13"/>
      <c r="H49" s="13"/>
      <c r="I49" s="13"/>
      <c r="J49" s="13"/>
      <c r="K49" s="13"/>
      <c r="L49" s="13"/>
      <c r="M49" s="13"/>
      <c r="N49" s="11">
        <v>0</v>
      </c>
      <c r="O49" s="14">
        <v>0</v>
      </c>
      <c r="P49" s="11">
        <v>0</v>
      </c>
      <c r="Q49" s="11">
        <v>0</v>
      </c>
      <c r="R49" s="11">
        <v>0</v>
      </c>
      <c r="S49" s="11">
        <v>0</v>
      </c>
      <c r="T49" s="11">
        <v>0</v>
      </c>
    </row>
    <row r="50" spans="1:20" s="15" customFormat="1" ht="11.4" x14ac:dyDescent="0.2">
      <c r="A50" s="3"/>
      <c r="B50" s="18"/>
      <c r="C50" s="10"/>
      <c r="D50" s="10"/>
      <c r="E50" s="10"/>
      <c r="F50" s="10"/>
      <c r="G50" s="13"/>
      <c r="H50" s="13"/>
      <c r="I50" s="13"/>
      <c r="J50" s="13"/>
      <c r="K50" s="13"/>
      <c r="L50" s="13"/>
      <c r="M50" s="13"/>
      <c r="N50" s="11">
        <v>0</v>
      </c>
      <c r="O50" s="14">
        <v>0</v>
      </c>
      <c r="P50" s="11">
        <v>0</v>
      </c>
      <c r="Q50" s="11">
        <v>0</v>
      </c>
      <c r="R50" s="11">
        <v>0</v>
      </c>
      <c r="S50" s="11">
        <v>0</v>
      </c>
      <c r="T50" s="11">
        <v>0</v>
      </c>
    </row>
    <row r="51" spans="1:20" s="15" customFormat="1" ht="11.4" x14ac:dyDescent="0.2">
      <c r="A51" s="3"/>
      <c r="B51" s="18"/>
      <c r="C51" s="10"/>
      <c r="D51" s="10"/>
      <c r="E51" s="10"/>
      <c r="F51" s="10"/>
      <c r="G51" s="13"/>
      <c r="H51" s="13"/>
      <c r="I51" s="13"/>
      <c r="J51" s="13"/>
      <c r="K51" s="13"/>
      <c r="L51" s="13"/>
      <c r="M51" s="13"/>
      <c r="N51" s="11">
        <v>0</v>
      </c>
      <c r="O51" s="14">
        <v>0</v>
      </c>
      <c r="P51" s="11">
        <v>0</v>
      </c>
      <c r="Q51" s="11">
        <v>0</v>
      </c>
      <c r="R51" s="11">
        <v>0</v>
      </c>
      <c r="S51" s="11">
        <v>0</v>
      </c>
      <c r="T51" s="11">
        <v>0</v>
      </c>
    </row>
    <row r="52" spans="1:20" s="15" customFormat="1" ht="11.4" x14ac:dyDescent="0.2">
      <c r="A52" s="3"/>
      <c r="B52" s="18"/>
      <c r="C52" s="10"/>
      <c r="D52" s="10"/>
      <c r="E52" s="10"/>
      <c r="F52" s="10"/>
      <c r="G52" s="13"/>
      <c r="H52" s="13"/>
      <c r="I52" s="13"/>
      <c r="J52" s="13"/>
      <c r="K52" s="13"/>
      <c r="L52" s="13"/>
      <c r="M52" s="13"/>
      <c r="N52" s="11">
        <v>0</v>
      </c>
      <c r="O52" s="14">
        <v>0</v>
      </c>
      <c r="P52" s="11">
        <v>0</v>
      </c>
      <c r="Q52" s="11">
        <v>0</v>
      </c>
      <c r="R52" s="11">
        <v>0</v>
      </c>
      <c r="S52" s="11">
        <v>0</v>
      </c>
      <c r="T52" s="11">
        <v>0</v>
      </c>
    </row>
    <row r="53" spans="1:20" s="15" customFormat="1" ht="11.4" x14ac:dyDescent="0.2">
      <c r="A53" s="4"/>
      <c r="B53" s="18"/>
      <c r="C53" s="16"/>
      <c r="D53" s="16"/>
      <c r="E53" s="16"/>
      <c r="F53" s="16"/>
      <c r="G53" s="17"/>
      <c r="H53" s="17"/>
      <c r="I53" s="17"/>
      <c r="J53" s="17"/>
      <c r="K53" s="17"/>
      <c r="L53" s="17"/>
      <c r="M53" s="17"/>
      <c r="N53" s="11">
        <v>0</v>
      </c>
      <c r="O53" s="14">
        <v>0</v>
      </c>
      <c r="P53" s="11">
        <v>0</v>
      </c>
      <c r="Q53" s="11">
        <v>0</v>
      </c>
      <c r="R53" s="11">
        <v>0</v>
      </c>
      <c r="S53" s="11">
        <v>0</v>
      </c>
      <c r="T53" s="11">
        <v>0</v>
      </c>
    </row>
    <row r="54" spans="1:20" s="15" customFormat="1" ht="11.4" x14ac:dyDescent="0.2">
      <c r="A54" s="1"/>
      <c r="F54" s="26"/>
      <c r="H54" s="19"/>
    </row>
    <row r="55" spans="1:20" s="15" customFormat="1" ht="11.4" x14ac:dyDescent="0.2">
      <c r="A55" s="1"/>
      <c r="F55" s="26"/>
      <c r="H55" s="19"/>
    </row>
    <row r="56" spans="1:20" s="15" customFormat="1" ht="11.4" x14ac:dyDescent="0.2">
      <c r="A56" s="1"/>
      <c r="F56" s="26"/>
      <c r="H56" s="19"/>
    </row>
    <row r="57" spans="1:20" s="15" customFormat="1" ht="11.4" x14ac:dyDescent="0.2">
      <c r="A57" s="1"/>
      <c r="F57" s="26"/>
      <c r="H57" s="19"/>
    </row>
    <row r="58" spans="1:20" s="15" customFormat="1" ht="11.4" x14ac:dyDescent="0.2">
      <c r="A58" s="1"/>
      <c r="F58" s="26"/>
      <c r="H58" s="19"/>
    </row>
    <row r="59" spans="1:20" s="15" customFormat="1" ht="11.4" x14ac:dyDescent="0.2">
      <c r="A59" s="1"/>
      <c r="F59" s="26"/>
      <c r="H59" s="19"/>
    </row>
    <row r="60" spans="1:20" s="15" customFormat="1" ht="11.4" x14ac:dyDescent="0.2">
      <c r="A60" s="1"/>
      <c r="F60" s="26"/>
      <c r="H60" s="19"/>
    </row>
    <row r="61" spans="1:20" s="15" customFormat="1" ht="11.4" hidden="1" x14ac:dyDescent="0.2">
      <c r="A61" s="1"/>
      <c r="F61" s="26"/>
      <c r="H61" s="19"/>
    </row>
    <row r="62" spans="1:20" s="15" customFormat="1" ht="11.4" hidden="1" x14ac:dyDescent="0.2">
      <c r="A62" s="1"/>
      <c r="F62" s="26"/>
      <c r="H62" s="19"/>
    </row>
    <row r="63" spans="1:20" s="15" customFormat="1" ht="11.4" hidden="1" x14ac:dyDescent="0.2">
      <c r="A63" s="1"/>
      <c r="F63" s="26"/>
      <c r="H63" s="19"/>
    </row>
    <row r="64" spans="1:20" s="15" customFormat="1" ht="11.4" hidden="1" x14ac:dyDescent="0.2">
      <c r="A64" s="1"/>
      <c r="F64" s="26"/>
      <c r="H64" s="19"/>
    </row>
    <row r="65" spans="1:8" s="15" customFormat="1" ht="11.4" hidden="1" x14ac:dyDescent="0.2">
      <c r="A65" s="1"/>
      <c r="F65" s="26"/>
      <c r="H65" s="19"/>
    </row>
    <row r="66" spans="1:8" s="15" customFormat="1" ht="11.4" hidden="1" x14ac:dyDescent="0.2">
      <c r="A66" s="1"/>
      <c r="F66" s="26"/>
      <c r="H66" s="19"/>
    </row>
    <row r="67" spans="1:8" s="15" customFormat="1" ht="11.4" hidden="1" x14ac:dyDescent="0.2">
      <c r="A67" s="1"/>
      <c r="F67" s="26"/>
      <c r="H67" s="19"/>
    </row>
    <row r="68" spans="1:8" s="15" customFormat="1" ht="11.4" hidden="1" x14ac:dyDescent="0.2">
      <c r="A68" s="1"/>
      <c r="F68" s="26"/>
      <c r="H68" s="19"/>
    </row>
    <row r="69" spans="1:8" s="15" customFormat="1" ht="11.4" hidden="1" x14ac:dyDescent="0.2">
      <c r="A69" s="1"/>
      <c r="F69" s="26"/>
      <c r="H69" s="19"/>
    </row>
    <row r="70" spans="1:8" s="15" customFormat="1" ht="11.4" hidden="1" x14ac:dyDescent="0.2">
      <c r="A70" s="1"/>
      <c r="F70" s="26"/>
      <c r="H70" s="19"/>
    </row>
    <row r="71" spans="1:8" s="15" customFormat="1" ht="11.4" hidden="1" x14ac:dyDescent="0.2">
      <c r="A71" s="1"/>
      <c r="F71" s="26"/>
      <c r="H71" s="19"/>
    </row>
    <row r="72" spans="1:8" s="15" customFormat="1" ht="11.4" hidden="1" x14ac:dyDescent="0.2">
      <c r="A72" s="1"/>
      <c r="F72" s="26"/>
      <c r="H72" s="19"/>
    </row>
    <row r="73" spans="1:8" s="15" customFormat="1" ht="11.4" hidden="1" x14ac:dyDescent="0.2">
      <c r="A73" s="1"/>
      <c r="F73" s="26"/>
      <c r="H73" s="19"/>
    </row>
    <row r="74" spans="1:8" s="15" customFormat="1" ht="11.4" hidden="1" x14ac:dyDescent="0.2">
      <c r="A74" s="1"/>
      <c r="F74" s="26"/>
      <c r="H74" s="19"/>
    </row>
    <row r="75" spans="1:8" s="15" customFormat="1" ht="11.4" hidden="1" x14ac:dyDescent="0.2">
      <c r="A75" s="1"/>
      <c r="F75" s="26"/>
      <c r="H75" s="19"/>
    </row>
    <row r="76" spans="1:8" s="15" customFormat="1" ht="11.4" hidden="1" x14ac:dyDescent="0.2">
      <c r="A76" s="1"/>
      <c r="F76" s="26"/>
      <c r="H76" s="19"/>
    </row>
    <row r="77" spans="1:8" s="15" customFormat="1" ht="11.4" hidden="1" x14ac:dyDescent="0.2">
      <c r="A77" s="1"/>
      <c r="F77" s="26"/>
      <c r="H77" s="19"/>
    </row>
    <row r="78" spans="1:8" s="15" customFormat="1" ht="11.4" hidden="1" x14ac:dyDescent="0.2">
      <c r="A78" s="1"/>
      <c r="F78" s="26"/>
      <c r="H78" s="19"/>
    </row>
    <row r="79" spans="1:8" s="15" customFormat="1" ht="11.4" hidden="1" x14ac:dyDescent="0.2">
      <c r="A79" s="1"/>
      <c r="F79" s="26"/>
      <c r="H79" s="19"/>
    </row>
    <row r="80" spans="1:8" s="15" customFormat="1" ht="11.4" hidden="1" x14ac:dyDescent="0.2">
      <c r="A80" s="1"/>
      <c r="F80" s="26"/>
      <c r="H80" s="19"/>
    </row>
    <row r="81" spans="1:19" s="15" customFormat="1" ht="11.4" hidden="1" x14ac:dyDescent="0.2">
      <c r="A81" s="1"/>
      <c r="F81" s="26"/>
      <c r="H81" s="19"/>
    </row>
    <row r="82" spans="1:19" s="15" customFormat="1" ht="11.4" hidden="1" x14ac:dyDescent="0.2">
      <c r="A82" s="1"/>
      <c r="F82" s="26"/>
      <c r="H82" s="19"/>
    </row>
    <row r="83" spans="1:19" s="15" customFormat="1" ht="11.4" hidden="1" x14ac:dyDescent="0.2">
      <c r="A83" s="1"/>
      <c r="F83" s="26"/>
      <c r="H83" s="19"/>
    </row>
    <row r="84" spans="1:19" s="15" customFormat="1" ht="11.4" hidden="1" x14ac:dyDescent="0.2">
      <c r="A84" s="1"/>
      <c r="F84" s="26"/>
      <c r="H84" s="19"/>
    </row>
    <row r="85" spans="1:19" s="15" customFormat="1" ht="11.4" hidden="1" x14ac:dyDescent="0.2">
      <c r="A85" s="1"/>
      <c r="F85" s="26"/>
      <c r="H85" s="19"/>
    </row>
    <row r="86" spans="1:19" s="15" customFormat="1" ht="11.4" hidden="1" x14ac:dyDescent="0.2">
      <c r="A86" s="1"/>
      <c r="F86" s="26"/>
      <c r="H86" s="19"/>
    </row>
    <row r="87" spans="1:19" s="15" customFormat="1" ht="11.4" hidden="1" x14ac:dyDescent="0.2">
      <c r="A87" s="1"/>
      <c r="F87" s="26"/>
      <c r="H87" s="19"/>
    </row>
    <row r="88" spans="1:19" s="15" customFormat="1" ht="11.4" hidden="1" x14ac:dyDescent="0.2">
      <c r="A88" s="1"/>
      <c r="F88" s="26"/>
      <c r="H88" s="19"/>
    </row>
    <row r="89" spans="1:19" s="15" customFormat="1" ht="11.4" hidden="1" x14ac:dyDescent="0.2">
      <c r="A89" s="1"/>
      <c r="F89" s="26"/>
      <c r="H89" s="19"/>
    </row>
    <row r="90" spans="1:19" s="15" customFormat="1" ht="11.4" hidden="1" x14ac:dyDescent="0.2">
      <c r="A90" s="1"/>
      <c r="F90" s="26"/>
      <c r="H90" s="19"/>
    </row>
    <row r="91" spans="1:19" s="15" customFormat="1" ht="11.4" hidden="1" x14ac:dyDescent="0.2">
      <c r="A91" s="1"/>
      <c r="F91" s="26"/>
      <c r="H91" s="19"/>
    </row>
    <row r="92" spans="1:19" ht="11.4" hidden="1" x14ac:dyDescent="0.2">
      <c r="M92" s="1"/>
      <c r="N92" s="1"/>
      <c r="O92" s="1"/>
      <c r="P92" s="1"/>
      <c r="Q92" s="1"/>
      <c r="R92" s="1"/>
      <c r="S92" s="1"/>
    </row>
    <row r="93" spans="1:19" ht="11.4" hidden="1" x14ac:dyDescent="0.2">
      <c r="M93" s="1"/>
      <c r="N93" s="1"/>
      <c r="O93" s="1"/>
      <c r="P93" s="1"/>
      <c r="Q93" s="1"/>
      <c r="R93" s="1"/>
      <c r="S93" s="1"/>
    </row>
    <row r="94" spans="1:19" ht="11.4" hidden="1" x14ac:dyDescent="0.2">
      <c r="M94" s="1"/>
      <c r="N94" s="1"/>
      <c r="O94" s="1"/>
      <c r="P94" s="1"/>
      <c r="Q94" s="1"/>
      <c r="R94" s="1"/>
      <c r="S94" s="1"/>
    </row>
    <row r="95" spans="1:19" ht="11.4" hidden="1" x14ac:dyDescent="0.2">
      <c r="M95" s="1"/>
      <c r="N95" s="1"/>
      <c r="O95" s="1"/>
      <c r="P95" s="1"/>
      <c r="Q95" s="1"/>
      <c r="R95" s="1"/>
      <c r="S95" s="1"/>
    </row>
    <row r="96" spans="1:19" ht="11.4" hidden="1" x14ac:dyDescent="0.2">
      <c r="M96" s="1"/>
      <c r="N96" s="1"/>
      <c r="O96" s="1"/>
      <c r="P96" s="1"/>
      <c r="Q96" s="1"/>
      <c r="R96" s="1"/>
      <c r="S96" s="1"/>
    </row>
    <row r="97" spans="13:19" ht="11.4" hidden="1" x14ac:dyDescent="0.2">
      <c r="M97" s="1"/>
      <c r="N97" s="1"/>
      <c r="O97" s="1"/>
      <c r="P97" s="1"/>
      <c r="Q97" s="1"/>
      <c r="R97" s="1"/>
      <c r="S97" s="1"/>
    </row>
    <row r="98" spans="13:19" ht="11.4" hidden="1" x14ac:dyDescent="0.2">
      <c r="M98" s="1"/>
      <c r="N98" s="1"/>
      <c r="O98" s="1"/>
      <c r="P98" s="1"/>
      <c r="Q98" s="1"/>
      <c r="R98" s="1"/>
      <c r="S98" s="1"/>
    </row>
    <row r="99" spans="13:19" ht="11.4" hidden="1" x14ac:dyDescent="0.2">
      <c r="M99" s="1"/>
      <c r="N99" s="1"/>
      <c r="O99" s="1"/>
      <c r="P99" s="1"/>
      <c r="Q99" s="1"/>
      <c r="R99" s="1"/>
      <c r="S99" s="1"/>
    </row>
    <row r="100" spans="13:19" ht="11.4" hidden="1" x14ac:dyDescent="0.2">
      <c r="M100" s="1"/>
      <c r="N100" s="1"/>
      <c r="O100" s="1"/>
      <c r="P100" s="1"/>
      <c r="Q100" s="1"/>
      <c r="R100" s="1"/>
      <c r="S100" s="1"/>
    </row>
    <row r="101" spans="13:19" ht="11.4" hidden="1" x14ac:dyDescent="0.2">
      <c r="M101" s="1"/>
      <c r="N101" s="1"/>
      <c r="O101" s="1"/>
      <c r="P101" s="1"/>
      <c r="Q101" s="1"/>
      <c r="R101" s="1"/>
      <c r="S101" s="1"/>
    </row>
    <row r="102" spans="13:19" ht="11.4" hidden="1" x14ac:dyDescent="0.2">
      <c r="M102" s="1"/>
      <c r="N102" s="1"/>
      <c r="O102" s="1"/>
      <c r="P102" s="1"/>
      <c r="Q102" s="1"/>
      <c r="R102" s="1"/>
      <c r="S102" s="1"/>
    </row>
    <row r="103" spans="13:19" ht="11.4" hidden="1" x14ac:dyDescent="0.2">
      <c r="M103" s="1"/>
      <c r="N103" s="1"/>
      <c r="O103" s="1"/>
      <c r="P103" s="1"/>
      <c r="Q103" s="1"/>
      <c r="R103" s="1"/>
      <c r="S103" s="1"/>
    </row>
    <row r="104" spans="13:19" ht="11.4" hidden="1" x14ac:dyDescent="0.2">
      <c r="M104" s="1"/>
      <c r="N104" s="1"/>
      <c r="O104" s="1"/>
      <c r="P104" s="1"/>
      <c r="Q104" s="1"/>
      <c r="R104" s="1"/>
      <c r="S104" s="1"/>
    </row>
    <row r="105" spans="13:19" ht="11.4" hidden="1" x14ac:dyDescent="0.2">
      <c r="M105" s="1"/>
      <c r="N105" s="1"/>
      <c r="O105" s="1"/>
      <c r="P105" s="1"/>
      <c r="Q105" s="1"/>
      <c r="R105" s="1"/>
      <c r="S105" s="1"/>
    </row>
    <row r="106" spans="13:19" ht="11.4" hidden="1" x14ac:dyDescent="0.2">
      <c r="M106" s="1"/>
      <c r="N106" s="1"/>
      <c r="O106" s="1"/>
      <c r="P106" s="1"/>
      <c r="Q106" s="1"/>
      <c r="R106" s="1"/>
      <c r="S106" s="1"/>
    </row>
    <row r="107" spans="13:19" ht="11.4" hidden="1" x14ac:dyDescent="0.2">
      <c r="M107" s="1"/>
      <c r="N107" s="1"/>
      <c r="O107" s="1"/>
      <c r="P107" s="1"/>
      <c r="Q107" s="1"/>
      <c r="R107" s="1"/>
      <c r="S107" s="1"/>
    </row>
    <row r="108" spans="13:19" ht="11.4" hidden="1" x14ac:dyDescent="0.2">
      <c r="M108" s="1"/>
      <c r="N108" s="1"/>
      <c r="O108" s="1"/>
      <c r="P108" s="1"/>
      <c r="Q108" s="1"/>
      <c r="R108" s="1"/>
      <c r="S108" s="1"/>
    </row>
    <row r="109" spans="13:19" ht="11.4" hidden="1" x14ac:dyDescent="0.2">
      <c r="M109" s="1"/>
      <c r="N109" s="1"/>
      <c r="O109" s="1"/>
      <c r="P109" s="1"/>
      <c r="Q109" s="1"/>
      <c r="R109" s="1"/>
      <c r="S109" s="1"/>
    </row>
    <row r="110" spans="13:19" ht="11.4" hidden="1" x14ac:dyDescent="0.2">
      <c r="M110" s="1"/>
      <c r="N110" s="1"/>
      <c r="O110" s="1"/>
      <c r="P110" s="1"/>
      <c r="Q110" s="1"/>
      <c r="R110" s="1"/>
      <c r="S110" s="1"/>
    </row>
    <row r="111" spans="13:19" ht="11.4" hidden="1" x14ac:dyDescent="0.2">
      <c r="M111" s="1"/>
      <c r="N111" s="1"/>
      <c r="O111" s="1"/>
      <c r="P111" s="1"/>
      <c r="Q111" s="1"/>
      <c r="R111" s="1"/>
      <c r="S111" s="1"/>
    </row>
    <row r="112" spans="13:19" ht="11.4" hidden="1" x14ac:dyDescent="0.2">
      <c r="M112" s="1"/>
      <c r="N112" s="1"/>
      <c r="O112" s="1"/>
      <c r="P112" s="1"/>
      <c r="Q112" s="1"/>
      <c r="R112" s="1"/>
      <c r="S112" s="1"/>
    </row>
    <row r="113" spans="13:19" ht="11.4" hidden="1" x14ac:dyDescent="0.2">
      <c r="M113" s="1"/>
      <c r="N113" s="1"/>
      <c r="O113" s="1"/>
      <c r="P113" s="1"/>
      <c r="Q113" s="1"/>
      <c r="R113" s="1"/>
      <c r="S113" s="1"/>
    </row>
    <row r="114" spans="13:19" ht="11.4" hidden="1" x14ac:dyDescent="0.2">
      <c r="M114" s="1"/>
      <c r="N114" s="1"/>
      <c r="O114" s="1"/>
      <c r="P114" s="1"/>
      <c r="Q114" s="1"/>
      <c r="R114" s="1"/>
      <c r="S114" s="1"/>
    </row>
    <row r="115" spans="13:19" ht="11.4" hidden="1" x14ac:dyDescent="0.2">
      <c r="M115" s="1"/>
      <c r="N115" s="1"/>
      <c r="O115" s="1"/>
      <c r="P115" s="1"/>
      <c r="Q115" s="1"/>
      <c r="R115" s="1"/>
      <c r="S115" s="1"/>
    </row>
    <row r="116" spans="13:19" ht="11.4" hidden="1" x14ac:dyDescent="0.2">
      <c r="M116" s="1"/>
      <c r="N116" s="1"/>
      <c r="O116" s="1"/>
      <c r="P116" s="1"/>
      <c r="Q116" s="1"/>
      <c r="R116" s="1"/>
      <c r="S116" s="1"/>
    </row>
    <row r="117" spans="13:19" ht="11.4" hidden="1" x14ac:dyDescent="0.2">
      <c r="M117" s="1"/>
      <c r="N117" s="1"/>
      <c r="O117" s="1"/>
      <c r="P117" s="1"/>
      <c r="Q117" s="1"/>
      <c r="R117" s="1"/>
      <c r="S117" s="1"/>
    </row>
    <row r="118" spans="13:19" ht="11.4" hidden="1" x14ac:dyDescent="0.2">
      <c r="M118" s="1"/>
      <c r="N118" s="1"/>
      <c r="O118" s="1"/>
      <c r="P118" s="1"/>
      <c r="Q118" s="1"/>
      <c r="R118" s="1"/>
      <c r="S118" s="1"/>
    </row>
    <row r="119" spans="13:19" ht="11.4" hidden="1" x14ac:dyDescent="0.2">
      <c r="M119" s="1"/>
      <c r="N119" s="1"/>
      <c r="O119" s="1"/>
      <c r="P119" s="1"/>
      <c r="Q119" s="1"/>
      <c r="R119" s="1"/>
      <c r="S119" s="1"/>
    </row>
    <row r="120" spans="13:19" ht="11.4" hidden="1" x14ac:dyDescent="0.2">
      <c r="M120" s="1"/>
      <c r="N120" s="1"/>
      <c r="O120" s="1"/>
      <c r="P120" s="1"/>
      <c r="Q120" s="1"/>
      <c r="R120" s="1"/>
      <c r="S120" s="1"/>
    </row>
    <row r="121" spans="13:19" ht="11.4" hidden="1" x14ac:dyDescent="0.2">
      <c r="M121" s="1"/>
      <c r="N121" s="1"/>
      <c r="O121" s="1"/>
      <c r="P121" s="1"/>
      <c r="Q121" s="1"/>
      <c r="R121" s="1"/>
      <c r="S121" s="1"/>
    </row>
    <row r="122" spans="13:19" ht="11.4" hidden="1" x14ac:dyDescent="0.2">
      <c r="M122" s="1"/>
      <c r="N122" s="1"/>
      <c r="O122" s="1"/>
      <c r="P122" s="1"/>
      <c r="Q122" s="1"/>
      <c r="R122" s="1"/>
      <c r="S122" s="1"/>
    </row>
    <row r="123" spans="13:19" ht="11.4" hidden="1" x14ac:dyDescent="0.2">
      <c r="M123" s="1"/>
      <c r="N123" s="1"/>
      <c r="O123" s="1"/>
      <c r="P123" s="1"/>
      <c r="Q123" s="1"/>
      <c r="R123" s="1"/>
      <c r="S123" s="1"/>
    </row>
    <row r="124" spans="13:19" ht="11.4" hidden="1" x14ac:dyDescent="0.2">
      <c r="M124" s="1"/>
      <c r="N124" s="1"/>
      <c r="O124" s="1"/>
      <c r="P124" s="1"/>
      <c r="Q124" s="1"/>
      <c r="R124" s="1"/>
      <c r="S124" s="1"/>
    </row>
    <row r="125" spans="13:19" ht="11.4" hidden="1" x14ac:dyDescent="0.2">
      <c r="M125" s="1"/>
      <c r="N125" s="1"/>
      <c r="O125" s="1"/>
      <c r="P125" s="1"/>
      <c r="Q125" s="1"/>
      <c r="R125" s="1"/>
      <c r="S125" s="1"/>
    </row>
    <row r="126" spans="13:19" ht="11.4" hidden="1" x14ac:dyDescent="0.2">
      <c r="M126" s="1"/>
      <c r="N126" s="1"/>
      <c r="O126" s="1"/>
      <c r="P126" s="1"/>
      <c r="Q126" s="1"/>
      <c r="R126" s="1"/>
      <c r="S126" s="1"/>
    </row>
    <row r="127" spans="13:19" ht="11.4" hidden="1" x14ac:dyDescent="0.2">
      <c r="M127" s="1"/>
      <c r="N127" s="1"/>
      <c r="O127" s="1"/>
      <c r="P127" s="1"/>
      <c r="Q127" s="1"/>
      <c r="R127" s="1"/>
      <c r="S127" s="1"/>
    </row>
    <row r="128" spans="13:19" ht="11.4" hidden="1" x14ac:dyDescent="0.2">
      <c r="M128" s="1"/>
      <c r="N128" s="1"/>
      <c r="O128" s="1"/>
      <c r="P128" s="1"/>
      <c r="Q128" s="1"/>
      <c r="R128" s="1"/>
      <c r="S128" s="1"/>
    </row>
    <row r="129" spans="13:19" ht="11.4" hidden="1" x14ac:dyDescent="0.2">
      <c r="M129" s="1"/>
      <c r="N129" s="1"/>
      <c r="O129" s="1"/>
      <c r="P129" s="1"/>
      <c r="Q129" s="1"/>
      <c r="R129" s="1"/>
      <c r="S129" s="1"/>
    </row>
    <row r="130" spans="13:19" ht="11.4" hidden="1" x14ac:dyDescent="0.2">
      <c r="M130" s="1"/>
      <c r="N130" s="1"/>
      <c r="O130" s="1"/>
      <c r="P130" s="1"/>
      <c r="Q130" s="1"/>
      <c r="R130" s="1"/>
      <c r="S130" s="1"/>
    </row>
    <row r="131" spans="13:19" ht="11.4" hidden="1" x14ac:dyDescent="0.2">
      <c r="M131" s="1"/>
      <c r="N131" s="1"/>
      <c r="O131" s="1"/>
      <c r="P131" s="1"/>
      <c r="Q131" s="1"/>
      <c r="R131" s="1"/>
      <c r="S131" s="1"/>
    </row>
    <row r="132" spans="13:19" ht="11.4" hidden="1" x14ac:dyDescent="0.2">
      <c r="M132" s="1"/>
      <c r="N132" s="1"/>
      <c r="O132" s="1"/>
      <c r="P132" s="1"/>
      <c r="Q132" s="1"/>
      <c r="R132" s="1"/>
      <c r="S132" s="1"/>
    </row>
    <row r="133" spans="13:19" ht="11.4" hidden="1" x14ac:dyDescent="0.2">
      <c r="M133" s="1"/>
      <c r="N133" s="1"/>
      <c r="O133" s="1"/>
      <c r="P133" s="1"/>
      <c r="Q133" s="1"/>
      <c r="R133" s="1"/>
      <c r="S133" s="1"/>
    </row>
    <row r="134" spans="13:19" ht="11.4" hidden="1" x14ac:dyDescent="0.2">
      <c r="M134" s="1"/>
      <c r="N134" s="1"/>
      <c r="O134" s="1"/>
      <c r="P134" s="1"/>
      <c r="Q134" s="1"/>
      <c r="R134" s="1"/>
      <c r="S134" s="1"/>
    </row>
    <row r="135" spans="13:19" ht="11.4" hidden="1" x14ac:dyDescent="0.2">
      <c r="M135" s="1"/>
      <c r="N135" s="1"/>
      <c r="O135" s="1"/>
      <c r="P135" s="1"/>
      <c r="Q135" s="1"/>
      <c r="R135" s="1"/>
      <c r="S135" s="1"/>
    </row>
    <row r="136" spans="13:19" ht="11.4" hidden="1" x14ac:dyDescent="0.2">
      <c r="M136" s="1"/>
      <c r="N136" s="1"/>
      <c r="O136" s="1"/>
      <c r="P136" s="1"/>
      <c r="Q136" s="1"/>
      <c r="R136" s="1"/>
      <c r="S136" s="1"/>
    </row>
    <row r="137" spans="13:19" ht="11.4" hidden="1" x14ac:dyDescent="0.2">
      <c r="M137" s="1"/>
      <c r="N137" s="1"/>
      <c r="O137" s="1"/>
      <c r="P137" s="1"/>
      <c r="Q137" s="1"/>
      <c r="R137" s="1"/>
      <c r="S137" s="1"/>
    </row>
    <row r="138" spans="13:19" ht="11.4" hidden="1" x14ac:dyDescent="0.2">
      <c r="M138" s="1"/>
      <c r="N138" s="1"/>
      <c r="O138" s="1"/>
      <c r="P138" s="1"/>
      <c r="Q138" s="1"/>
      <c r="R138" s="1"/>
      <c r="S138" s="1"/>
    </row>
    <row r="139" spans="13:19" ht="11.4" hidden="1" x14ac:dyDescent="0.2">
      <c r="M139" s="1"/>
      <c r="N139" s="1"/>
      <c r="O139" s="1"/>
      <c r="P139" s="1"/>
      <c r="Q139" s="1"/>
      <c r="R139" s="1"/>
      <c r="S139" s="1"/>
    </row>
    <row r="140" spans="13:19" ht="11.4" hidden="1" x14ac:dyDescent="0.2">
      <c r="M140" s="1"/>
      <c r="N140" s="1"/>
      <c r="O140" s="1"/>
      <c r="P140" s="1"/>
      <c r="Q140" s="1"/>
      <c r="R140" s="1"/>
      <c r="S140" s="1"/>
    </row>
    <row r="141" spans="13:19" ht="11.4" hidden="1" x14ac:dyDescent="0.2">
      <c r="M141" s="1"/>
      <c r="N141" s="1"/>
      <c r="O141" s="1"/>
      <c r="P141" s="1"/>
      <c r="Q141" s="1"/>
      <c r="R141" s="1"/>
      <c r="S141" s="1"/>
    </row>
    <row r="142" spans="13:19" ht="11.4" hidden="1" x14ac:dyDescent="0.2">
      <c r="M142" s="1"/>
      <c r="N142" s="1"/>
      <c r="O142" s="1"/>
      <c r="P142" s="1"/>
      <c r="Q142" s="1"/>
      <c r="R142" s="1"/>
      <c r="S142" s="1"/>
    </row>
    <row r="143" spans="13:19" ht="11.4" hidden="1" x14ac:dyDescent="0.2">
      <c r="M143" s="1"/>
      <c r="N143" s="1"/>
      <c r="O143" s="1"/>
      <c r="P143" s="1"/>
      <c r="Q143" s="1"/>
      <c r="R143" s="1"/>
      <c r="S143" s="1"/>
    </row>
    <row r="144" spans="13:19" ht="11.4" hidden="1" x14ac:dyDescent="0.2">
      <c r="M144" s="1"/>
      <c r="N144" s="1"/>
      <c r="O144" s="1"/>
      <c r="P144" s="1"/>
      <c r="Q144" s="1"/>
      <c r="R144" s="1"/>
      <c r="S144" s="1"/>
    </row>
    <row r="145" spans="13:19" ht="11.4" hidden="1" x14ac:dyDescent="0.2">
      <c r="M145" s="1"/>
      <c r="N145" s="1"/>
      <c r="O145" s="1"/>
      <c r="P145" s="1"/>
      <c r="Q145" s="1"/>
      <c r="R145" s="1"/>
      <c r="S145" s="1"/>
    </row>
    <row r="146" spans="13:19" ht="11.4" hidden="1" x14ac:dyDescent="0.2">
      <c r="M146" s="1"/>
      <c r="N146" s="1"/>
      <c r="O146" s="1"/>
      <c r="P146" s="1"/>
      <c r="Q146" s="1"/>
      <c r="R146" s="1"/>
      <c r="S146" s="1"/>
    </row>
    <row r="147" spans="13:19" ht="11.4" hidden="1" x14ac:dyDescent="0.2">
      <c r="M147" s="1"/>
      <c r="N147" s="1"/>
      <c r="O147" s="1"/>
      <c r="P147" s="1"/>
      <c r="Q147" s="1"/>
      <c r="R147" s="1"/>
      <c r="S147" s="1"/>
    </row>
    <row r="148" spans="13:19" ht="11.4" hidden="1" x14ac:dyDescent="0.2">
      <c r="M148" s="1"/>
      <c r="N148" s="1"/>
      <c r="O148" s="1"/>
      <c r="P148" s="1"/>
      <c r="Q148" s="1"/>
      <c r="R148" s="1"/>
      <c r="S148" s="1"/>
    </row>
    <row r="149" spans="13:19" ht="11.4" hidden="1" x14ac:dyDescent="0.2">
      <c r="M149" s="1"/>
      <c r="N149" s="1"/>
      <c r="O149" s="1"/>
      <c r="P149" s="1"/>
      <c r="Q149" s="1"/>
      <c r="R149" s="1"/>
      <c r="S149" s="1"/>
    </row>
    <row r="150" spans="13:19" ht="11.4" hidden="1" x14ac:dyDescent="0.2">
      <c r="M150" s="1"/>
      <c r="N150" s="1"/>
      <c r="O150" s="1"/>
      <c r="P150" s="1"/>
      <c r="Q150" s="1"/>
      <c r="R150" s="1"/>
      <c r="S150" s="1"/>
    </row>
    <row r="151" spans="13:19" ht="11.4" hidden="1" x14ac:dyDescent="0.2">
      <c r="M151" s="1"/>
      <c r="N151" s="1"/>
      <c r="O151" s="1"/>
      <c r="P151" s="1"/>
      <c r="Q151" s="1"/>
      <c r="R151" s="1"/>
      <c r="S151" s="1"/>
    </row>
    <row r="152" spans="13:19" ht="11.4" hidden="1" x14ac:dyDescent="0.2">
      <c r="M152" s="1"/>
      <c r="N152" s="1"/>
      <c r="O152" s="1"/>
      <c r="P152" s="1"/>
      <c r="Q152" s="1"/>
      <c r="R152" s="1"/>
      <c r="S152" s="1"/>
    </row>
    <row r="153" spans="13:19" ht="11.4" hidden="1" x14ac:dyDescent="0.2">
      <c r="M153" s="1"/>
      <c r="N153" s="1"/>
      <c r="O153" s="1"/>
      <c r="P153" s="1"/>
      <c r="Q153" s="1"/>
      <c r="R153" s="1"/>
      <c r="S153" s="1"/>
    </row>
    <row r="154" spans="13:19" ht="11.4" hidden="1" x14ac:dyDescent="0.2">
      <c r="M154" s="1"/>
      <c r="N154" s="1"/>
      <c r="O154" s="1"/>
      <c r="P154" s="1"/>
      <c r="Q154" s="1"/>
      <c r="R154" s="1"/>
      <c r="S154" s="1"/>
    </row>
    <row r="155" spans="13:19" ht="11.4" hidden="1" x14ac:dyDescent="0.2">
      <c r="M155" s="1"/>
      <c r="N155" s="1"/>
      <c r="O155" s="1"/>
      <c r="P155" s="1"/>
      <c r="Q155" s="1"/>
      <c r="R155" s="1"/>
      <c r="S155" s="1"/>
    </row>
    <row r="156" spans="13:19" ht="11.4" hidden="1" x14ac:dyDescent="0.2">
      <c r="M156" s="1"/>
      <c r="N156" s="1"/>
      <c r="O156" s="1"/>
      <c r="P156" s="1"/>
      <c r="Q156" s="1"/>
      <c r="R156" s="1"/>
      <c r="S156" s="1"/>
    </row>
    <row r="157" spans="13:19" ht="11.4" hidden="1" x14ac:dyDescent="0.2">
      <c r="M157" s="1"/>
      <c r="N157" s="1"/>
      <c r="O157" s="1"/>
      <c r="P157" s="1"/>
      <c r="Q157" s="1"/>
      <c r="R157" s="1"/>
      <c r="S157" s="1"/>
    </row>
    <row r="158" spans="13:19" ht="11.4" hidden="1" x14ac:dyDescent="0.2">
      <c r="M158" s="1"/>
      <c r="N158" s="1"/>
      <c r="O158" s="1"/>
      <c r="P158" s="1"/>
      <c r="Q158" s="1"/>
      <c r="R158" s="1"/>
      <c r="S158" s="1"/>
    </row>
    <row r="159" spans="13:19" ht="11.4" hidden="1" x14ac:dyDescent="0.2">
      <c r="M159" s="1"/>
      <c r="N159" s="1"/>
      <c r="O159" s="1"/>
      <c r="P159" s="1"/>
      <c r="Q159" s="1"/>
      <c r="R159" s="1"/>
      <c r="S159" s="1"/>
    </row>
    <row r="160" spans="13:19" ht="11.4" hidden="1" x14ac:dyDescent="0.2">
      <c r="M160" s="1"/>
      <c r="N160" s="1"/>
      <c r="O160" s="1"/>
      <c r="P160" s="1"/>
      <c r="Q160" s="1"/>
      <c r="R160" s="1"/>
      <c r="S160" s="1"/>
    </row>
    <row r="161" spans="13:19" ht="11.4" hidden="1" x14ac:dyDescent="0.2">
      <c r="M161" s="1"/>
      <c r="N161" s="1"/>
      <c r="O161" s="1"/>
      <c r="P161" s="1"/>
      <c r="Q161" s="1"/>
      <c r="R161" s="1"/>
      <c r="S161" s="1"/>
    </row>
    <row r="162" spans="13:19" ht="11.4" hidden="1" x14ac:dyDescent="0.2">
      <c r="M162" s="1"/>
      <c r="N162" s="1"/>
      <c r="O162" s="1"/>
      <c r="P162" s="1"/>
      <c r="Q162" s="1"/>
      <c r="R162" s="1"/>
      <c r="S162" s="1"/>
    </row>
    <row r="163" spans="13:19" ht="11.4" hidden="1" x14ac:dyDescent="0.2">
      <c r="M163" s="1"/>
      <c r="N163" s="1"/>
      <c r="O163" s="1"/>
      <c r="P163" s="1"/>
      <c r="Q163" s="1"/>
      <c r="R163" s="1"/>
      <c r="S163" s="1"/>
    </row>
    <row r="164" spans="13:19" ht="11.4" hidden="1" x14ac:dyDescent="0.2">
      <c r="M164" s="1"/>
      <c r="N164" s="1"/>
      <c r="O164" s="1"/>
      <c r="P164" s="1"/>
      <c r="Q164" s="1"/>
      <c r="R164" s="1"/>
      <c r="S164" s="1"/>
    </row>
    <row r="165" spans="13:19" ht="11.4" hidden="1" x14ac:dyDescent="0.2">
      <c r="M165" s="1"/>
      <c r="N165" s="1"/>
      <c r="O165" s="1"/>
      <c r="P165" s="1"/>
      <c r="Q165" s="1"/>
      <c r="R165" s="1"/>
      <c r="S165" s="1"/>
    </row>
    <row r="166" spans="13:19" ht="11.4" hidden="1" x14ac:dyDescent="0.2">
      <c r="M166" s="1"/>
      <c r="N166" s="1"/>
      <c r="O166" s="1"/>
      <c r="P166" s="1"/>
      <c r="Q166" s="1"/>
      <c r="R166" s="1"/>
      <c r="S166" s="1"/>
    </row>
    <row r="167" spans="13:19" ht="11.4" hidden="1" x14ac:dyDescent="0.2">
      <c r="M167" s="1"/>
      <c r="N167" s="1"/>
      <c r="O167" s="1"/>
      <c r="P167" s="1"/>
      <c r="Q167" s="1"/>
      <c r="R167" s="1"/>
      <c r="S167" s="1"/>
    </row>
    <row r="168" spans="13:19" ht="11.4" hidden="1" x14ac:dyDescent="0.2">
      <c r="M168" s="1"/>
      <c r="N168" s="1"/>
      <c r="O168" s="1"/>
      <c r="P168" s="1"/>
      <c r="Q168" s="1"/>
      <c r="R168" s="1"/>
      <c r="S168" s="1"/>
    </row>
    <row r="169" spans="13:19" ht="11.4" hidden="1" x14ac:dyDescent="0.2">
      <c r="M169" s="1"/>
      <c r="N169" s="1"/>
      <c r="O169" s="1"/>
      <c r="P169" s="1"/>
      <c r="Q169" s="1"/>
      <c r="R169" s="1"/>
      <c r="S169" s="1"/>
    </row>
    <row r="170" spans="13:19" ht="11.4" hidden="1" x14ac:dyDescent="0.2">
      <c r="M170" s="1"/>
      <c r="N170" s="1"/>
      <c r="O170" s="1"/>
      <c r="P170" s="1"/>
      <c r="Q170" s="1"/>
      <c r="R170" s="1"/>
      <c r="S170" s="1"/>
    </row>
    <row r="171" spans="13:19" ht="11.4" hidden="1" x14ac:dyDescent="0.2">
      <c r="M171" s="1"/>
      <c r="N171" s="1"/>
      <c r="O171" s="1"/>
      <c r="P171" s="1"/>
      <c r="Q171" s="1"/>
      <c r="R171" s="1"/>
      <c r="S171" s="1"/>
    </row>
    <row r="172" spans="13:19" ht="11.4" hidden="1" x14ac:dyDescent="0.2">
      <c r="M172" s="1"/>
      <c r="N172" s="1"/>
      <c r="O172" s="1"/>
      <c r="P172" s="1"/>
      <c r="Q172" s="1"/>
      <c r="R172" s="1"/>
      <c r="S172" s="1"/>
    </row>
    <row r="173" spans="13:19" ht="11.4" hidden="1" x14ac:dyDescent="0.2">
      <c r="M173" s="1"/>
      <c r="N173" s="1"/>
      <c r="O173" s="1"/>
      <c r="P173" s="1"/>
      <c r="Q173" s="1"/>
      <c r="R173" s="1"/>
      <c r="S173" s="1"/>
    </row>
    <row r="174" spans="13:19" ht="11.4" hidden="1" x14ac:dyDescent="0.2">
      <c r="M174" s="1"/>
      <c r="N174" s="1"/>
      <c r="O174" s="1"/>
      <c r="P174" s="1"/>
      <c r="Q174" s="1"/>
      <c r="R174" s="1"/>
      <c r="S174" s="1"/>
    </row>
    <row r="175" spans="13:19" ht="11.4" hidden="1" x14ac:dyDescent="0.2">
      <c r="M175" s="1"/>
      <c r="N175" s="1"/>
      <c r="O175" s="1"/>
      <c r="P175" s="1"/>
      <c r="Q175" s="1"/>
      <c r="R175" s="1"/>
      <c r="S175" s="1"/>
    </row>
    <row r="176" spans="13:19" ht="11.4" hidden="1" x14ac:dyDescent="0.2">
      <c r="M176" s="1"/>
      <c r="N176" s="1"/>
      <c r="O176" s="1"/>
      <c r="P176" s="1"/>
      <c r="Q176" s="1"/>
      <c r="R176" s="1"/>
      <c r="S176" s="1"/>
    </row>
    <row r="177" spans="13:19" ht="11.4" hidden="1" x14ac:dyDescent="0.2">
      <c r="M177" s="1"/>
      <c r="N177" s="1"/>
      <c r="O177" s="1"/>
      <c r="P177" s="1"/>
      <c r="Q177" s="1"/>
      <c r="R177" s="1"/>
      <c r="S177" s="1"/>
    </row>
    <row r="178" spans="13:19" ht="11.4" hidden="1" x14ac:dyDescent="0.2">
      <c r="M178" s="1"/>
      <c r="N178" s="1"/>
      <c r="O178" s="1"/>
      <c r="P178" s="1"/>
      <c r="Q178" s="1"/>
      <c r="R178" s="1"/>
      <c r="S178" s="1"/>
    </row>
    <row r="179" spans="13:19" ht="11.4" hidden="1" x14ac:dyDescent="0.2">
      <c r="M179" s="1"/>
      <c r="N179" s="1"/>
      <c r="O179" s="1"/>
      <c r="P179" s="1"/>
      <c r="Q179" s="1"/>
      <c r="R179" s="1"/>
      <c r="S179" s="1"/>
    </row>
    <row r="180" spans="13:19" ht="11.4" hidden="1" x14ac:dyDescent="0.2">
      <c r="M180" s="1"/>
      <c r="N180" s="1"/>
      <c r="O180" s="1"/>
      <c r="P180" s="1"/>
      <c r="Q180" s="1"/>
      <c r="R180" s="1"/>
      <c r="S180" s="1"/>
    </row>
    <row r="181" spans="13:19" ht="11.4" hidden="1" x14ac:dyDescent="0.2">
      <c r="M181" s="1"/>
      <c r="N181" s="1"/>
      <c r="O181" s="1"/>
      <c r="P181" s="1"/>
      <c r="Q181" s="1"/>
      <c r="R181" s="1"/>
      <c r="S181" s="1"/>
    </row>
    <row r="182" spans="13:19" ht="11.4" hidden="1" x14ac:dyDescent="0.2">
      <c r="M182" s="1"/>
      <c r="N182" s="1"/>
      <c r="O182" s="1"/>
      <c r="P182" s="1"/>
      <c r="Q182" s="1"/>
      <c r="R182" s="1"/>
      <c r="S182" s="1"/>
    </row>
    <row r="183" spans="13:19" ht="11.4" hidden="1" x14ac:dyDescent="0.2">
      <c r="M183" s="1"/>
      <c r="N183" s="1"/>
      <c r="O183" s="1"/>
      <c r="P183" s="1"/>
      <c r="Q183" s="1"/>
      <c r="R183" s="1"/>
      <c r="S183" s="1"/>
    </row>
    <row r="184" spans="13:19" ht="11.4" hidden="1" x14ac:dyDescent="0.2">
      <c r="M184" s="1"/>
      <c r="N184" s="1"/>
      <c r="O184" s="1"/>
      <c r="P184" s="1"/>
      <c r="Q184" s="1"/>
      <c r="R184" s="1"/>
      <c r="S184" s="1"/>
    </row>
    <row r="185" spans="13:19" ht="11.4" hidden="1" x14ac:dyDescent="0.2">
      <c r="M185" s="1"/>
      <c r="N185" s="1"/>
      <c r="O185" s="1"/>
      <c r="P185" s="1"/>
      <c r="Q185" s="1"/>
      <c r="R185" s="1"/>
      <c r="S185" s="1"/>
    </row>
    <row r="186" spans="13:19" ht="11.4" hidden="1" x14ac:dyDescent="0.2">
      <c r="M186" s="1"/>
      <c r="N186" s="1"/>
      <c r="O186" s="1"/>
      <c r="P186" s="1"/>
      <c r="Q186" s="1"/>
      <c r="R186" s="1"/>
      <c r="S186" s="1"/>
    </row>
    <row r="187" spans="13:19" ht="11.4" hidden="1" x14ac:dyDescent="0.2">
      <c r="M187" s="1"/>
      <c r="N187" s="1"/>
      <c r="O187" s="1"/>
      <c r="P187" s="1"/>
      <c r="Q187" s="1"/>
      <c r="R187" s="1"/>
      <c r="S187" s="1"/>
    </row>
    <row r="188" spans="13:19" ht="11.4" hidden="1" x14ac:dyDescent="0.2">
      <c r="M188" s="1"/>
      <c r="N188" s="1"/>
      <c r="O188" s="1"/>
      <c r="P188" s="1"/>
      <c r="Q188" s="1"/>
      <c r="R188" s="1"/>
      <c r="S188" s="1"/>
    </row>
    <row r="189" spans="13:19" ht="11.4" hidden="1" x14ac:dyDescent="0.2">
      <c r="M189" s="1"/>
      <c r="N189" s="1"/>
      <c r="O189" s="1"/>
      <c r="P189" s="1"/>
      <c r="Q189" s="1"/>
      <c r="R189" s="1"/>
      <c r="S189" s="1"/>
    </row>
    <row r="190" spans="13:19" ht="11.4" hidden="1" x14ac:dyDescent="0.2">
      <c r="M190" s="1"/>
      <c r="N190" s="1"/>
      <c r="O190" s="1"/>
      <c r="P190" s="1"/>
      <c r="Q190" s="1"/>
      <c r="R190" s="1"/>
      <c r="S190" s="1"/>
    </row>
    <row r="191" spans="13:19" ht="11.4" hidden="1" x14ac:dyDescent="0.2">
      <c r="M191" s="1"/>
      <c r="N191" s="1"/>
      <c r="O191" s="1"/>
      <c r="P191" s="1"/>
      <c r="Q191" s="1"/>
      <c r="R191" s="1"/>
      <c r="S191" s="1"/>
    </row>
    <row r="192" spans="13:19" ht="11.4" hidden="1" x14ac:dyDescent="0.2">
      <c r="M192" s="1"/>
      <c r="N192" s="1"/>
      <c r="O192" s="1"/>
      <c r="P192" s="1"/>
      <c r="Q192" s="1"/>
      <c r="R192" s="1"/>
      <c r="S192" s="1"/>
    </row>
    <row r="193" spans="13:19" ht="11.4" hidden="1" x14ac:dyDescent="0.2">
      <c r="M193" s="1"/>
      <c r="N193" s="1"/>
      <c r="O193" s="1"/>
      <c r="P193" s="1"/>
      <c r="Q193" s="1"/>
      <c r="R193" s="1"/>
      <c r="S193" s="1"/>
    </row>
    <row r="194" spans="13:19" ht="11.4" hidden="1" x14ac:dyDescent="0.2">
      <c r="M194" s="1"/>
      <c r="N194" s="1"/>
      <c r="O194" s="1"/>
      <c r="P194" s="1"/>
      <c r="Q194" s="1"/>
      <c r="R194" s="1"/>
      <c r="S194" s="1"/>
    </row>
    <row r="195" spans="13:19" ht="11.4" hidden="1" x14ac:dyDescent="0.2">
      <c r="M195" s="1"/>
      <c r="N195" s="1"/>
      <c r="O195" s="1"/>
      <c r="P195" s="1"/>
      <c r="Q195" s="1"/>
      <c r="R195" s="1"/>
      <c r="S195" s="1"/>
    </row>
    <row r="196" spans="13:19" ht="11.4" hidden="1" x14ac:dyDescent="0.2">
      <c r="M196" s="1"/>
      <c r="N196" s="1"/>
      <c r="O196" s="1"/>
      <c r="P196" s="1"/>
      <c r="Q196" s="1"/>
      <c r="R196" s="1"/>
      <c r="S196" s="1"/>
    </row>
    <row r="197" spans="13:19" ht="11.4" hidden="1" x14ac:dyDescent="0.2">
      <c r="M197" s="1"/>
      <c r="N197" s="1"/>
      <c r="O197" s="1"/>
      <c r="P197" s="1"/>
      <c r="Q197" s="1"/>
      <c r="R197" s="1"/>
      <c r="S197" s="1"/>
    </row>
    <row r="198" spans="13:19" ht="11.4" hidden="1" x14ac:dyDescent="0.2">
      <c r="M198" s="1"/>
      <c r="N198" s="1"/>
      <c r="O198" s="1"/>
      <c r="P198" s="1"/>
      <c r="Q198" s="1"/>
      <c r="R198" s="1"/>
      <c r="S198" s="1"/>
    </row>
    <row r="199" spans="13:19" ht="11.4" hidden="1" x14ac:dyDescent="0.2">
      <c r="M199" s="1"/>
      <c r="N199" s="1"/>
      <c r="O199" s="1"/>
      <c r="P199" s="1"/>
      <c r="Q199" s="1"/>
      <c r="R199" s="1"/>
      <c r="S199" s="1"/>
    </row>
    <row r="200" spans="13:19" ht="11.4" hidden="1" x14ac:dyDescent="0.2">
      <c r="M200" s="1"/>
      <c r="N200" s="1"/>
      <c r="O200" s="1"/>
      <c r="P200" s="1"/>
      <c r="Q200" s="1"/>
      <c r="R200" s="1"/>
      <c r="S200" s="1"/>
    </row>
    <row r="201" spans="13:19" ht="11.4" hidden="1" x14ac:dyDescent="0.2">
      <c r="M201" s="1"/>
      <c r="N201" s="1"/>
      <c r="O201" s="1"/>
      <c r="P201" s="1"/>
      <c r="Q201" s="1"/>
      <c r="R201" s="1"/>
      <c r="S201" s="1"/>
    </row>
    <row r="202" spans="13:19" ht="11.4" hidden="1" x14ac:dyDescent="0.2">
      <c r="M202" s="1"/>
      <c r="N202" s="1"/>
      <c r="O202" s="1"/>
      <c r="P202" s="1"/>
      <c r="Q202" s="1"/>
      <c r="R202" s="1"/>
      <c r="S202" s="1"/>
    </row>
    <row r="203" spans="13:19" ht="11.4" hidden="1" x14ac:dyDescent="0.2">
      <c r="M203" s="1"/>
      <c r="N203" s="1"/>
      <c r="O203" s="1"/>
      <c r="P203" s="1"/>
      <c r="Q203" s="1"/>
      <c r="R203" s="1"/>
      <c r="S203" s="1"/>
    </row>
    <row r="204" spans="13:19" ht="11.4" hidden="1" x14ac:dyDescent="0.2">
      <c r="M204" s="1"/>
      <c r="N204" s="1"/>
      <c r="O204" s="1"/>
      <c r="P204" s="1"/>
      <c r="Q204" s="1"/>
      <c r="R204" s="1"/>
      <c r="S204" s="1"/>
    </row>
    <row r="205" spans="13:19" ht="11.4" hidden="1" x14ac:dyDescent="0.2">
      <c r="M205" s="1"/>
      <c r="N205" s="1"/>
      <c r="O205" s="1"/>
      <c r="P205" s="1"/>
      <c r="Q205" s="1"/>
      <c r="R205" s="1"/>
      <c r="S205" s="1"/>
    </row>
    <row r="206" spans="13:19" ht="11.4" hidden="1" x14ac:dyDescent="0.2">
      <c r="M206" s="1"/>
      <c r="N206" s="1"/>
      <c r="O206" s="1"/>
      <c r="P206" s="1"/>
      <c r="Q206" s="1"/>
      <c r="R206" s="1"/>
      <c r="S206" s="1"/>
    </row>
    <row r="207" spans="13:19" ht="11.4" hidden="1" x14ac:dyDescent="0.2">
      <c r="M207" s="1"/>
      <c r="N207" s="1"/>
      <c r="O207" s="1"/>
      <c r="P207" s="1"/>
      <c r="Q207" s="1"/>
      <c r="R207" s="1"/>
      <c r="S207" s="1"/>
    </row>
    <row r="208" spans="13:19" ht="11.4" hidden="1" x14ac:dyDescent="0.2">
      <c r="M208" s="1"/>
      <c r="N208" s="1"/>
      <c r="O208" s="1"/>
      <c r="P208" s="1"/>
      <c r="Q208" s="1"/>
      <c r="R208" s="1"/>
      <c r="S208" s="1"/>
    </row>
    <row r="209" spans="13:19" ht="11.4" hidden="1" x14ac:dyDescent="0.2">
      <c r="M209" s="1"/>
      <c r="N209" s="1"/>
      <c r="O209" s="1"/>
      <c r="P209" s="1"/>
      <c r="Q209" s="1"/>
      <c r="R209" s="1"/>
      <c r="S209" s="1"/>
    </row>
    <row r="210" spans="13:19" ht="11.4" hidden="1" x14ac:dyDescent="0.2">
      <c r="M210" s="1"/>
      <c r="N210" s="1"/>
      <c r="O210" s="1"/>
      <c r="P210" s="1"/>
      <c r="Q210" s="1"/>
      <c r="R210" s="1"/>
      <c r="S210" s="1"/>
    </row>
    <row r="211" spans="13:19" ht="11.4" hidden="1" x14ac:dyDescent="0.2">
      <c r="M211" s="1"/>
      <c r="N211" s="1"/>
      <c r="O211" s="1"/>
      <c r="P211" s="1"/>
      <c r="Q211" s="1"/>
      <c r="R211" s="1"/>
      <c r="S211" s="1"/>
    </row>
    <row r="212" spans="13:19" ht="11.4" hidden="1" x14ac:dyDescent="0.2">
      <c r="M212" s="1"/>
      <c r="N212" s="1"/>
      <c r="O212" s="1"/>
      <c r="P212" s="1"/>
      <c r="Q212" s="1"/>
      <c r="R212" s="1"/>
      <c r="S212" s="1"/>
    </row>
    <row r="213" spans="13:19" ht="11.4" hidden="1" x14ac:dyDescent="0.2">
      <c r="M213" s="1"/>
      <c r="N213" s="1"/>
      <c r="O213" s="1"/>
      <c r="P213" s="1"/>
      <c r="Q213" s="1"/>
      <c r="R213" s="1"/>
      <c r="S213" s="1"/>
    </row>
    <row r="214" spans="13:19" ht="11.4" hidden="1" x14ac:dyDescent="0.2">
      <c r="M214" s="1"/>
      <c r="N214" s="1"/>
      <c r="O214" s="1"/>
      <c r="P214" s="1"/>
      <c r="Q214" s="1"/>
      <c r="R214" s="1"/>
      <c r="S214" s="1"/>
    </row>
    <row r="215" spans="13:19" ht="11.4" hidden="1" x14ac:dyDescent="0.2">
      <c r="M215" s="1"/>
      <c r="N215" s="1"/>
      <c r="O215" s="1"/>
      <c r="P215" s="1"/>
      <c r="Q215" s="1"/>
      <c r="R215" s="1"/>
      <c r="S215" s="1"/>
    </row>
    <row r="216" spans="13:19" ht="11.4" hidden="1" x14ac:dyDescent="0.2">
      <c r="M216" s="1"/>
      <c r="N216" s="1"/>
      <c r="O216" s="1"/>
      <c r="P216" s="1"/>
      <c r="Q216" s="1"/>
      <c r="R216" s="1"/>
      <c r="S216" s="1"/>
    </row>
    <row r="217" spans="13:19" ht="11.4" hidden="1" x14ac:dyDescent="0.2">
      <c r="M217" s="1"/>
      <c r="N217" s="1"/>
      <c r="O217" s="1"/>
      <c r="P217" s="1"/>
      <c r="Q217" s="1"/>
      <c r="R217" s="1"/>
      <c r="S217" s="1"/>
    </row>
    <row r="218" spans="13:19" ht="11.4" hidden="1" x14ac:dyDescent="0.2">
      <c r="M218" s="1"/>
      <c r="N218" s="1"/>
      <c r="O218" s="1"/>
      <c r="P218" s="1"/>
      <c r="Q218" s="1"/>
      <c r="R218" s="1"/>
      <c r="S218" s="1"/>
    </row>
    <row r="219" spans="13:19" ht="11.4" hidden="1" x14ac:dyDescent="0.2">
      <c r="M219" s="1"/>
      <c r="N219" s="1"/>
      <c r="O219" s="1"/>
      <c r="P219" s="1"/>
      <c r="Q219" s="1"/>
      <c r="R219" s="1"/>
      <c r="S219" s="1"/>
    </row>
    <row r="220" spans="13:19" ht="11.4" hidden="1" x14ac:dyDescent="0.2">
      <c r="M220" s="1"/>
      <c r="N220" s="1"/>
      <c r="O220" s="1"/>
      <c r="P220" s="1"/>
      <c r="Q220" s="1"/>
      <c r="R220" s="1"/>
      <c r="S220" s="1"/>
    </row>
    <row r="221" spans="13:19" ht="11.4" hidden="1" x14ac:dyDescent="0.2">
      <c r="M221" s="1"/>
      <c r="N221" s="1"/>
      <c r="O221" s="1"/>
      <c r="P221" s="1"/>
      <c r="Q221" s="1"/>
      <c r="R221" s="1"/>
      <c r="S221" s="1"/>
    </row>
    <row r="222" spans="13:19" ht="11.4" hidden="1" x14ac:dyDescent="0.2">
      <c r="M222" s="1"/>
      <c r="N222" s="1"/>
      <c r="O222" s="1"/>
      <c r="P222" s="1"/>
      <c r="Q222" s="1"/>
      <c r="R222" s="1"/>
      <c r="S222" s="1"/>
    </row>
    <row r="223" spans="13:19" ht="11.4" hidden="1" x14ac:dyDescent="0.2">
      <c r="M223" s="1"/>
      <c r="N223" s="1"/>
      <c r="O223" s="1"/>
      <c r="P223" s="1"/>
      <c r="Q223" s="1"/>
      <c r="R223" s="1"/>
      <c r="S223" s="1"/>
    </row>
    <row r="224" spans="13:19" ht="11.4" hidden="1" x14ac:dyDescent="0.2">
      <c r="M224" s="1"/>
      <c r="N224" s="1"/>
      <c r="O224" s="1"/>
      <c r="P224" s="1"/>
      <c r="Q224" s="1"/>
      <c r="R224" s="1"/>
      <c r="S224" s="1"/>
    </row>
    <row r="225" spans="13:19" ht="11.4" hidden="1" x14ac:dyDescent="0.2">
      <c r="M225" s="1"/>
      <c r="N225" s="1"/>
      <c r="O225" s="1"/>
      <c r="P225" s="1"/>
      <c r="Q225" s="1"/>
      <c r="R225" s="1"/>
      <c r="S225" s="1"/>
    </row>
    <row r="226" spans="13:19" ht="11.4" hidden="1" x14ac:dyDescent="0.2">
      <c r="M226" s="1"/>
      <c r="N226" s="1"/>
      <c r="O226" s="1"/>
      <c r="P226" s="1"/>
      <c r="Q226" s="1"/>
      <c r="R226" s="1"/>
      <c r="S226" s="1"/>
    </row>
    <row r="227" spans="13:19" ht="11.4" hidden="1" x14ac:dyDescent="0.2">
      <c r="M227" s="1"/>
      <c r="N227" s="1"/>
      <c r="O227" s="1"/>
      <c r="P227" s="1"/>
      <c r="Q227" s="1"/>
      <c r="R227" s="1"/>
      <c r="S227" s="1"/>
    </row>
    <row r="228" spans="13:19" ht="11.4" hidden="1" x14ac:dyDescent="0.2">
      <c r="M228" s="1"/>
      <c r="N228" s="1"/>
      <c r="O228" s="1"/>
      <c r="P228" s="1"/>
      <c r="Q228" s="1"/>
      <c r="R228" s="1"/>
      <c r="S228" s="1"/>
    </row>
    <row r="229" spans="13:19" ht="11.4" hidden="1" x14ac:dyDescent="0.2">
      <c r="M229" s="1"/>
      <c r="N229" s="1"/>
      <c r="O229" s="1"/>
      <c r="P229" s="1"/>
      <c r="Q229" s="1"/>
      <c r="R229" s="1"/>
      <c r="S229" s="1"/>
    </row>
    <row r="230" spans="13:19" ht="11.4" hidden="1" x14ac:dyDescent="0.2">
      <c r="M230" s="1"/>
      <c r="N230" s="1"/>
      <c r="O230" s="1"/>
      <c r="P230" s="1"/>
      <c r="Q230" s="1"/>
      <c r="R230" s="1"/>
      <c r="S230" s="1"/>
    </row>
    <row r="231" spans="13:19" ht="11.4" hidden="1" x14ac:dyDescent="0.2">
      <c r="M231" s="1"/>
      <c r="N231" s="1"/>
      <c r="O231" s="1"/>
      <c r="P231" s="1"/>
      <c r="Q231" s="1"/>
      <c r="R231" s="1"/>
      <c r="S231" s="1"/>
    </row>
    <row r="232" spans="13:19" ht="11.4" hidden="1" x14ac:dyDescent="0.2">
      <c r="M232" s="1"/>
      <c r="N232" s="1"/>
      <c r="O232" s="1"/>
      <c r="P232" s="1"/>
      <c r="Q232" s="1"/>
      <c r="R232" s="1"/>
      <c r="S232" s="1"/>
    </row>
    <row r="233" spans="13:19" ht="11.4" hidden="1" x14ac:dyDescent="0.2">
      <c r="M233" s="1"/>
      <c r="N233" s="1"/>
      <c r="O233" s="1"/>
      <c r="P233" s="1"/>
      <c r="Q233" s="1"/>
      <c r="R233" s="1"/>
      <c r="S233" s="1"/>
    </row>
    <row r="234" spans="13:19" ht="11.4" hidden="1" x14ac:dyDescent="0.2">
      <c r="M234" s="1"/>
      <c r="N234" s="1"/>
      <c r="O234" s="1"/>
      <c r="P234" s="1"/>
      <c r="Q234" s="1"/>
      <c r="R234" s="1"/>
      <c r="S234" s="1"/>
    </row>
    <row r="235" spans="13:19" ht="11.4" hidden="1" x14ac:dyDescent="0.2">
      <c r="M235" s="1"/>
      <c r="N235" s="1"/>
      <c r="O235" s="1"/>
      <c r="P235" s="1"/>
      <c r="Q235" s="1"/>
      <c r="R235" s="1"/>
      <c r="S235" s="1"/>
    </row>
    <row r="236" spans="13:19" ht="11.4" hidden="1" x14ac:dyDescent="0.2">
      <c r="M236" s="1"/>
      <c r="N236" s="1"/>
      <c r="O236" s="1"/>
      <c r="P236" s="1"/>
      <c r="Q236" s="1"/>
      <c r="R236" s="1"/>
      <c r="S236" s="1"/>
    </row>
    <row r="237" spans="13:19" ht="11.4" hidden="1" x14ac:dyDescent="0.2">
      <c r="M237" s="1"/>
      <c r="N237" s="1"/>
      <c r="O237" s="1"/>
      <c r="P237" s="1"/>
      <c r="Q237" s="1"/>
      <c r="R237" s="1"/>
      <c r="S237" s="1"/>
    </row>
    <row r="238" spans="13:19" ht="11.4" hidden="1" x14ac:dyDescent="0.2">
      <c r="M238" s="1"/>
      <c r="N238" s="1"/>
      <c r="O238" s="1"/>
      <c r="P238" s="1"/>
      <c r="Q238" s="1"/>
      <c r="R238" s="1"/>
      <c r="S238" s="1"/>
    </row>
    <row r="239" spans="13:19" ht="11.4" hidden="1" x14ac:dyDescent="0.2">
      <c r="M239" s="1"/>
      <c r="N239" s="1"/>
      <c r="O239" s="1"/>
      <c r="P239" s="1"/>
      <c r="Q239" s="1"/>
      <c r="R239" s="1"/>
      <c r="S239" s="1"/>
    </row>
    <row r="240" spans="13:19" ht="11.4" hidden="1" x14ac:dyDescent="0.2">
      <c r="M240" s="1"/>
      <c r="N240" s="1"/>
      <c r="O240" s="1"/>
      <c r="P240" s="1"/>
      <c r="Q240" s="1"/>
      <c r="R240" s="1"/>
      <c r="S240" s="1"/>
    </row>
    <row r="241" spans="6:19" ht="11.4" hidden="1" x14ac:dyDescent="0.2">
      <c r="M241" s="1"/>
      <c r="N241" s="1"/>
      <c r="O241" s="1"/>
      <c r="P241" s="1"/>
      <c r="Q241" s="1"/>
      <c r="R241" s="1"/>
      <c r="S241" s="1"/>
    </row>
    <row r="242" spans="6:19" ht="11.4" hidden="1" x14ac:dyDescent="0.2">
      <c r="F242" s="28"/>
      <c r="G242" s="2"/>
      <c r="H242" s="21"/>
      <c r="I242" s="2"/>
      <c r="J242" s="2"/>
      <c r="K242" s="2"/>
      <c r="L242" s="2"/>
      <c r="Q242" s="1"/>
      <c r="R242" s="1"/>
      <c r="S242" s="1"/>
    </row>
    <row r="243" spans="6:19" ht="11.4" hidden="1" x14ac:dyDescent="0.2">
      <c r="F243" s="28"/>
      <c r="G243" s="2"/>
      <c r="H243" s="21"/>
      <c r="I243" s="2"/>
      <c r="J243" s="2"/>
      <c r="K243" s="2"/>
      <c r="L243" s="2"/>
      <c r="Q243" s="1"/>
      <c r="R243" s="1"/>
      <c r="S243" s="1"/>
    </row>
    <row r="244" spans="6:19" ht="11.4" hidden="1" x14ac:dyDescent="0.2">
      <c r="F244" s="28"/>
      <c r="G244" s="2"/>
      <c r="H244" s="21"/>
      <c r="I244" s="2"/>
      <c r="J244" s="2"/>
      <c r="K244" s="2"/>
      <c r="L244" s="2"/>
      <c r="Q244" s="1"/>
      <c r="R244" s="1"/>
      <c r="S244" s="1"/>
    </row>
  </sheetData>
  <mergeCells count="1">
    <mergeCell ref="B1:AB2"/>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A1BF-5AC0-41CA-AF7D-9A9615EEA83D}">
  <sheetPr codeName="Hoja14"/>
  <dimension ref="A1:H34"/>
  <sheetViews>
    <sheetView topLeftCell="A10" workbookViewId="0">
      <selection activeCell="B22" sqref="B22"/>
    </sheetView>
  </sheetViews>
  <sheetFormatPr baseColWidth="10" defaultRowHeight="14.4" x14ac:dyDescent="0.3"/>
  <cols>
    <col min="1" max="1" width="17.33203125" bestFit="1" customWidth="1"/>
    <col min="2" max="2" width="23.21875" bestFit="1" customWidth="1"/>
    <col min="3" max="3" width="18.6640625" bestFit="1" customWidth="1"/>
    <col min="4" max="4" width="13.33203125" bestFit="1" customWidth="1"/>
    <col min="5" max="5" width="22.21875" bestFit="1" customWidth="1"/>
    <col min="6" max="6" width="23.33203125" bestFit="1" customWidth="1"/>
    <col min="7" max="7" width="39.44140625" bestFit="1" customWidth="1"/>
    <col min="8" max="8" width="26.109375" bestFit="1" customWidth="1"/>
  </cols>
  <sheetData>
    <row r="1" spans="1:6" x14ac:dyDescent="0.3">
      <c r="A1" s="120" t="s">
        <v>93</v>
      </c>
      <c r="B1" t="s">
        <v>95</v>
      </c>
    </row>
    <row r="2" spans="1:6" x14ac:dyDescent="0.3">
      <c r="A2" s="121">
        <v>0</v>
      </c>
      <c r="B2" s="6">
        <v>0</v>
      </c>
    </row>
    <row r="3" spans="1:6" x14ac:dyDescent="0.3">
      <c r="A3" s="121" t="s">
        <v>25</v>
      </c>
      <c r="B3" s="6">
        <v>0</v>
      </c>
    </row>
    <row r="4" spans="1:6" x14ac:dyDescent="0.3">
      <c r="A4" s="121" t="s">
        <v>26</v>
      </c>
      <c r="B4" s="6">
        <v>2</v>
      </c>
    </row>
    <row r="5" spans="1:6" x14ac:dyDescent="0.3">
      <c r="A5" s="121" t="s">
        <v>2</v>
      </c>
      <c r="B5" s="6">
        <v>0</v>
      </c>
    </row>
    <row r="6" spans="1:6" x14ac:dyDescent="0.3">
      <c r="A6" s="121" t="s">
        <v>24</v>
      </c>
      <c r="B6" s="6">
        <v>0</v>
      </c>
    </row>
    <row r="7" spans="1:6" x14ac:dyDescent="0.3">
      <c r="A7" s="121" t="s">
        <v>28</v>
      </c>
      <c r="B7" s="6">
        <v>8</v>
      </c>
    </row>
    <row r="8" spans="1:6" x14ac:dyDescent="0.3">
      <c r="A8" s="121" t="s">
        <v>29</v>
      </c>
      <c r="B8" s="6">
        <v>2</v>
      </c>
    </row>
    <row r="9" spans="1:6" x14ac:dyDescent="0.3">
      <c r="A9" s="121" t="s">
        <v>3</v>
      </c>
      <c r="B9" s="6">
        <v>6</v>
      </c>
    </row>
    <row r="10" spans="1:6" x14ac:dyDescent="0.3">
      <c r="A10" s="121" t="s">
        <v>27</v>
      </c>
      <c r="B10" s="6">
        <v>1</v>
      </c>
    </row>
    <row r="11" spans="1:6" x14ac:dyDescent="0.3">
      <c r="A11" s="121" t="s">
        <v>4</v>
      </c>
      <c r="B11" s="6">
        <v>0</v>
      </c>
    </row>
    <row r="12" spans="1:6" x14ac:dyDescent="0.3">
      <c r="A12" s="121" t="s">
        <v>94</v>
      </c>
      <c r="B12" s="6">
        <v>19</v>
      </c>
    </row>
    <row r="14" spans="1:6" x14ac:dyDescent="0.3">
      <c r="A14" t="s">
        <v>97</v>
      </c>
      <c r="B14" t="s">
        <v>98</v>
      </c>
      <c r="C14" t="s">
        <v>99</v>
      </c>
      <c r="D14" t="s">
        <v>100</v>
      </c>
      <c r="E14" t="s">
        <v>101</v>
      </c>
      <c r="F14" t="s">
        <v>102</v>
      </c>
    </row>
    <row r="15" spans="1:6" x14ac:dyDescent="0.3">
      <c r="A15" s="6">
        <v>782608.69565217383</v>
      </c>
      <c r="B15" s="6">
        <v>136347.82608695654</v>
      </c>
      <c r="C15" s="6">
        <v>65217.391304347831</v>
      </c>
      <c r="D15" s="6">
        <v>715217.3913043479</v>
      </c>
      <c r="E15" s="6">
        <v>1123913.043478261</v>
      </c>
      <c r="F15" s="6">
        <v>104347.82608695653</v>
      </c>
    </row>
    <row r="17" spans="1:8" x14ac:dyDescent="0.3">
      <c r="A17" s="120" t="s">
        <v>93</v>
      </c>
      <c r="B17" t="s">
        <v>96</v>
      </c>
      <c r="C17" s="120"/>
      <c r="D17" s="120"/>
      <c r="E17" s="120"/>
      <c r="F17" s="120"/>
      <c r="G17" s="120"/>
      <c r="H17" s="120"/>
    </row>
    <row r="18" spans="1:8" x14ac:dyDescent="0.3">
      <c r="A18" s="121">
        <v>0</v>
      </c>
      <c r="B18" s="6">
        <v>0</v>
      </c>
    </row>
    <row r="19" spans="1:8" x14ac:dyDescent="0.3">
      <c r="A19" s="121" t="s">
        <v>25</v>
      </c>
      <c r="B19" s="6">
        <v>4312000</v>
      </c>
    </row>
    <row r="20" spans="1:8" x14ac:dyDescent="0.3">
      <c r="A20" s="121" t="s">
        <v>26</v>
      </c>
      <c r="B20" s="6">
        <v>13914426.086956521</v>
      </c>
    </row>
    <row r="21" spans="1:8" x14ac:dyDescent="0.3">
      <c r="A21" s="121" t="s">
        <v>2</v>
      </c>
      <c r="B21" s="6">
        <v>2875043.4782608696</v>
      </c>
    </row>
    <row r="22" spans="1:8" x14ac:dyDescent="0.3">
      <c r="A22" s="121" t="s">
        <v>24</v>
      </c>
      <c r="B22" s="6">
        <v>1749000</v>
      </c>
    </row>
    <row r="23" spans="1:8" x14ac:dyDescent="0.3">
      <c r="A23" s="121" t="s">
        <v>28</v>
      </c>
      <c r="B23" s="6">
        <v>1495800</v>
      </c>
    </row>
    <row r="24" spans="1:8" x14ac:dyDescent="0.3">
      <c r="A24" s="121" t="s">
        <v>29</v>
      </c>
      <c r="B24" s="6">
        <v>1600533.3333333333</v>
      </c>
    </row>
    <row r="25" spans="1:8" x14ac:dyDescent="0.3">
      <c r="A25" s="121" t="s">
        <v>3</v>
      </c>
      <c r="B25" s="6">
        <v>1602773.9130434783</v>
      </c>
    </row>
    <row r="26" spans="1:8" x14ac:dyDescent="0.3">
      <c r="A26" s="121" t="s">
        <v>27</v>
      </c>
      <c r="B26" s="6">
        <v>1212794.2028985505</v>
      </c>
    </row>
    <row r="27" spans="1:8" x14ac:dyDescent="0.3">
      <c r="A27" s="121" t="s">
        <v>4</v>
      </c>
      <c r="B27" s="6">
        <v>4149000</v>
      </c>
    </row>
    <row r="28" spans="1:8" x14ac:dyDescent="0.3">
      <c r="A28" s="121" t="s">
        <v>94</v>
      </c>
      <c r="B28" s="6">
        <v>32911371.014492754</v>
      </c>
    </row>
    <row r="34" spans="4:8" x14ac:dyDescent="0.3">
      <c r="D34" s="120"/>
      <c r="E34" s="120"/>
      <c r="F34" s="120"/>
      <c r="G34" s="120"/>
      <c r="H34" s="1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A3E6-70D8-4187-82DF-294078CA6143}">
  <sheetPr codeName="Hoja12"/>
  <dimension ref="A1:E66"/>
  <sheetViews>
    <sheetView showGridLines="0" zoomScale="150" zoomScaleNormal="150" workbookViewId="0">
      <selection activeCell="D16" sqref="D16"/>
    </sheetView>
  </sheetViews>
  <sheetFormatPr baseColWidth="10" defaultColWidth="0" defaultRowHeight="21" zeroHeight="1" x14ac:dyDescent="0.4"/>
  <cols>
    <col min="1" max="1" width="59.44140625" style="88" customWidth="1"/>
    <col min="2" max="2" width="27.6640625" style="114" customWidth="1"/>
    <col min="3" max="3" width="63" style="88" customWidth="1"/>
    <col min="4" max="4" width="56.33203125" customWidth="1"/>
    <col min="5" max="5" width="11.44140625" customWidth="1"/>
    <col min="6" max="16384" width="11.44140625" hidden="1"/>
  </cols>
  <sheetData>
    <row r="1" spans="1:4" ht="82.5" customHeight="1" thickBot="1" x14ac:dyDescent="0.35">
      <c r="A1" s="131" t="s">
        <v>37</v>
      </c>
      <c r="B1" s="131"/>
      <c r="C1" s="131"/>
    </row>
    <row r="2" spans="1:4" ht="19.2" thickTop="1" thickBot="1" x14ac:dyDescent="0.4">
      <c r="A2" s="132" t="s">
        <v>38</v>
      </c>
      <c r="B2" s="132"/>
      <c r="C2" s="29" t="s">
        <v>39</v>
      </c>
      <c r="D2" s="30"/>
    </row>
    <row r="3" spans="1:4" ht="102.75" customHeight="1" thickTop="1" thickBot="1" x14ac:dyDescent="0.35">
      <c r="A3" s="31" t="s">
        <v>40</v>
      </c>
      <c r="B3" s="96">
        <v>9493298</v>
      </c>
      <c r="C3" s="32"/>
      <c r="D3" s="30"/>
    </row>
    <row r="4" spans="1:4" ht="195" customHeight="1" thickTop="1" thickBot="1" x14ac:dyDescent="0.35">
      <c r="A4" s="33" t="s">
        <v>41</v>
      </c>
      <c r="B4" s="97">
        <v>0</v>
      </c>
      <c r="C4" s="34"/>
    </row>
    <row r="5" spans="1:4" ht="19.2" thickTop="1" thickBot="1" x14ac:dyDescent="0.4">
      <c r="A5" s="133" t="s">
        <v>42</v>
      </c>
      <c r="B5" s="133"/>
      <c r="C5" s="133"/>
    </row>
    <row r="6" spans="1:4" ht="266.39999999999998" thickTop="1" thickBot="1" x14ac:dyDescent="0.35">
      <c r="A6" s="35" t="s">
        <v>43</v>
      </c>
      <c r="B6" s="98">
        <v>379732</v>
      </c>
      <c r="C6" s="36" t="s">
        <v>44</v>
      </c>
    </row>
    <row r="7" spans="1:4" ht="73.5" customHeight="1" thickTop="1" thickBot="1" x14ac:dyDescent="0.35">
      <c r="A7" s="31" t="s">
        <v>45</v>
      </c>
      <c r="B7" s="99">
        <v>379732</v>
      </c>
      <c r="C7" s="37" t="s">
        <v>44</v>
      </c>
      <c r="D7" s="30"/>
    </row>
    <row r="8" spans="1:4" ht="24.6" thickTop="1" thickBot="1" x14ac:dyDescent="0.35">
      <c r="A8" s="31" t="s">
        <v>46</v>
      </c>
      <c r="B8" s="99">
        <v>94934</v>
      </c>
      <c r="C8" s="38" t="s">
        <v>44</v>
      </c>
    </row>
    <row r="9" spans="1:4" ht="209.25" customHeight="1" thickTop="1" thickBot="1" x14ac:dyDescent="0.35">
      <c r="A9" s="31" t="s">
        <v>47</v>
      </c>
      <c r="B9" s="101">
        <v>150000</v>
      </c>
      <c r="C9" s="39" t="s">
        <v>48</v>
      </c>
    </row>
    <row r="10" spans="1:4" ht="42.6" thickTop="1" x14ac:dyDescent="0.3">
      <c r="A10" s="40" t="s">
        <v>49</v>
      </c>
      <c r="B10" s="102">
        <f>SUM(B3:B4)-SUM(B6:B9)</f>
        <v>8488900</v>
      </c>
      <c r="C10" s="41"/>
    </row>
    <row r="11" spans="1:4" x14ac:dyDescent="0.3">
      <c r="A11" s="42"/>
      <c r="B11" s="103"/>
      <c r="C11" s="43"/>
    </row>
    <row r="12" spans="1:4" ht="18" x14ac:dyDescent="0.35">
      <c r="A12" s="134" t="s">
        <v>50</v>
      </c>
      <c r="B12" s="134"/>
      <c r="C12" s="134"/>
    </row>
    <row r="13" spans="1:4" ht="21.6" thickBot="1" x14ac:dyDescent="0.35">
      <c r="A13" s="44"/>
      <c r="B13" s="104"/>
      <c r="C13" s="45"/>
    </row>
    <row r="14" spans="1:4" ht="145.5" customHeight="1" thickTop="1" thickBot="1" x14ac:dyDescent="0.35">
      <c r="A14" s="31" t="s">
        <v>51</v>
      </c>
      <c r="B14" s="51">
        <v>392208.3</v>
      </c>
      <c r="C14" s="46" t="s">
        <v>91</v>
      </c>
    </row>
    <row r="15" spans="1:4" ht="24.6" thickTop="1" thickBot="1" x14ac:dyDescent="0.35">
      <c r="A15" s="47"/>
      <c r="B15" s="105"/>
      <c r="C15" s="48"/>
    </row>
    <row r="16" spans="1:4" ht="96.75" customHeight="1" thickTop="1" thickBot="1" x14ac:dyDescent="0.35">
      <c r="A16" s="31" t="s">
        <v>52</v>
      </c>
      <c r="B16" s="51">
        <v>496000</v>
      </c>
      <c r="C16" s="46" t="s">
        <v>53</v>
      </c>
    </row>
    <row r="17" spans="1:4" ht="22.2" thickTop="1" thickBot="1" x14ac:dyDescent="0.35">
      <c r="A17" s="49"/>
      <c r="B17" s="106"/>
      <c r="C17" s="50"/>
    </row>
    <row r="18" spans="1:4" ht="193.5" customHeight="1" thickTop="1" thickBot="1" x14ac:dyDescent="0.35">
      <c r="A18" s="33" t="s">
        <v>54</v>
      </c>
      <c r="B18" s="51">
        <f>B3*10%</f>
        <v>949329.8</v>
      </c>
      <c r="C18" s="52" t="s">
        <v>55</v>
      </c>
    </row>
    <row r="19" spans="1:4" ht="21.6" thickTop="1" x14ac:dyDescent="0.3">
      <c r="A19" s="53"/>
      <c r="B19" s="103"/>
      <c r="C19" s="43"/>
    </row>
    <row r="20" spans="1:4" ht="18" x14ac:dyDescent="0.35">
      <c r="A20" s="134" t="s">
        <v>56</v>
      </c>
      <c r="B20" s="134"/>
      <c r="C20"/>
    </row>
    <row r="21" spans="1:4" ht="21.6" thickBot="1" x14ac:dyDescent="0.35">
      <c r="A21" s="44"/>
      <c r="B21" s="104"/>
      <c r="C21" s="45"/>
    </row>
    <row r="22" spans="1:4" ht="218.25" customHeight="1" thickTop="1" thickBot="1" x14ac:dyDescent="0.35">
      <c r="A22" s="33" t="s">
        <v>57</v>
      </c>
      <c r="B22" s="62"/>
      <c r="C22" s="55" t="s">
        <v>58</v>
      </c>
      <c r="D22" s="56" t="s">
        <v>59</v>
      </c>
    </row>
    <row r="23" spans="1:4" ht="84.75" customHeight="1" thickTop="1" thickBot="1" x14ac:dyDescent="0.35">
      <c r="A23" s="31" t="s">
        <v>60</v>
      </c>
      <c r="B23" s="100"/>
      <c r="C23" s="38"/>
    </row>
    <row r="24" spans="1:4" ht="120.75" customHeight="1" thickTop="1" thickBot="1" x14ac:dyDescent="0.35">
      <c r="A24" s="31" t="s">
        <v>61</v>
      </c>
      <c r="B24" s="62"/>
      <c r="C24" s="54"/>
    </row>
    <row r="25" spans="1:4" ht="108" customHeight="1" thickTop="1" thickBot="1" x14ac:dyDescent="0.35">
      <c r="A25" s="33" t="s">
        <v>62</v>
      </c>
      <c r="B25" s="62"/>
      <c r="C25" s="54"/>
    </row>
    <row r="26" spans="1:4" ht="43.2" thickTop="1" thickBot="1" x14ac:dyDescent="0.35">
      <c r="A26" s="57" t="s">
        <v>63</v>
      </c>
      <c r="B26" s="58">
        <f>(B10-SUM(B14:B18)-SUM(B22:B25))</f>
        <v>6651361.9000000004</v>
      </c>
      <c r="C26" s="59"/>
    </row>
    <row r="27" spans="1:4" ht="22.2" thickTop="1" thickBot="1" x14ac:dyDescent="0.35">
      <c r="A27" s="60"/>
      <c r="B27" s="107"/>
      <c r="C27" s="61"/>
    </row>
    <row r="28" spans="1:4" ht="79.2" thickTop="1" thickBot="1" x14ac:dyDescent="0.35">
      <c r="A28" s="35" t="s">
        <v>64</v>
      </c>
      <c r="B28" s="62">
        <f>B26*25%</f>
        <v>1662840.4750000001</v>
      </c>
      <c r="C28" s="62" t="s">
        <v>65</v>
      </c>
      <c r="D28" s="63"/>
    </row>
    <row r="29" spans="1:4" ht="22.2" thickTop="1" thickBot="1" x14ac:dyDescent="0.35">
      <c r="A29" s="64"/>
      <c r="B29" s="108"/>
      <c r="C29" s="61"/>
    </row>
    <row r="30" spans="1:4" ht="22.2" thickTop="1" thickBot="1" x14ac:dyDescent="0.35">
      <c r="A30" s="65" t="s">
        <v>66</v>
      </c>
      <c r="B30" s="66">
        <f>B28</f>
        <v>1662840.4750000001</v>
      </c>
      <c r="C30" s="67"/>
    </row>
    <row r="31" spans="1:4" ht="22.2" thickTop="1" thickBot="1" x14ac:dyDescent="0.35">
      <c r="A31" s="68"/>
      <c r="B31" s="108"/>
      <c r="C31" s="61"/>
    </row>
    <row r="32" spans="1:4" ht="22.2" thickTop="1" thickBot="1" x14ac:dyDescent="0.45">
      <c r="A32"/>
      <c r="B32" s="109"/>
      <c r="C32" s="69"/>
    </row>
    <row r="33" spans="1:5" ht="118.5" customHeight="1" thickTop="1" thickBot="1" x14ac:dyDescent="0.35">
      <c r="A33" s="31" t="s">
        <v>67</v>
      </c>
      <c r="B33" s="110">
        <f>SUM(B14:B18)+SUM(B22:B25)+B28</f>
        <v>3500378.5750000002</v>
      </c>
      <c r="C33" s="70"/>
      <c r="D33" s="63"/>
    </row>
    <row r="34" spans="1:5" ht="101.25" customHeight="1" thickTop="1" thickBot="1" x14ac:dyDescent="0.35">
      <c r="A34" s="71" t="s">
        <v>68</v>
      </c>
      <c r="B34" s="110">
        <f>B10*40%</f>
        <v>3395560</v>
      </c>
      <c r="C34" s="72" t="s">
        <v>92</v>
      </c>
      <c r="D34" s="117"/>
    </row>
    <row r="35" spans="1:5" ht="72.75" customHeight="1" thickTop="1" thickBot="1" x14ac:dyDescent="0.35">
      <c r="A35" s="71" t="s">
        <v>69</v>
      </c>
      <c r="B35" s="111"/>
      <c r="C35" s="73"/>
      <c r="D35" s="30"/>
    </row>
    <row r="36" spans="1:5" ht="22.2" thickTop="1" thickBot="1" x14ac:dyDescent="0.35">
      <c r="A36" s="74" t="s">
        <v>70</v>
      </c>
      <c r="B36" s="75">
        <f>B10-MIN(B33,B34)</f>
        <v>5093340</v>
      </c>
      <c r="C36" s="76"/>
    </row>
    <row r="37" spans="1:5" ht="22.2" thickTop="1" thickBot="1" x14ac:dyDescent="0.35">
      <c r="A37" s="77"/>
      <c r="B37" s="112"/>
      <c r="C37" s="78"/>
    </row>
    <row r="38" spans="1:5" ht="22.2" thickTop="1" thickBot="1" x14ac:dyDescent="0.35">
      <c r="A38" s="79" t="s">
        <v>71</v>
      </c>
      <c r="B38" s="80">
        <v>47065</v>
      </c>
      <c r="C38" s="81"/>
      <c r="D38">
        <f>108-95</f>
        <v>13</v>
      </c>
    </row>
    <row r="39" spans="1:5" ht="32.4" thickTop="1" thickBot="1" x14ac:dyDescent="0.35">
      <c r="A39" s="79" t="s">
        <v>72</v>
      </c>
      <c r="B39" s="82">
        <f>B36/B38</f>
        <v>108.21927122065229</v>
      </c>
      <c r="C39" s="83"/>
      <c r="D39">
        <f>D38*19%</f>
        <v>2.4700000000000002</v>
      </c>
    </row>
    <row r="40" spans="1:5" ht="22.2" thickTop="1" thickBot="1" x14ac:dyDescent="0.35">
      <c r="A40" s="84" t="s">
        <v>73</v>
      </c>
      <c r="B40" s="85">
        <f>_xlfn.IFS(B39&gt;0&lt;=95,0,95&lt;=150,((B39-95)*19%)*B38,150&lt;=360,(((B39-150)*28%)+10)*B38,360&lt;=640,(((B39-360)*33%)+69)*B38,640&lt;=945,(((B39-640)*35%)+162)*B38,945&lt;=2300,(((B39-360)*37%)+268)*B38,2300&lt;=100000,(((B39-2300)*39%)+770)*B38)</f>
        <v>118211.34999999999</v>
      </c>
      <c r="C40" s="86"/>
      <c r="D40" s="119">
        <f>D39*B38</f>
        <v>116250.55</v>
      </c>
    </row>
    <row r="41" spans="1:5" ht="21.6" thickTop="1" x14ac:dyDescent="0.4">
      <c r="A41" s="87"/>
      <c r="B41" s="113"/>
      <c r="C41" s="118"/>
    </row>
    <row r="42" spans="1:5" x14ac:dyDescent="0.4">
      <c r="C42" s="118"/>
    </row>
    <row r="43" spans="1:5" ht="21.6" thickBot="1" x14ac:dyDescent="0.45"/>
    <row r="44" spans="1:5" ht="19.2" thickTop="1" thickBot="1" x14ac:dyDescent="0.35">
      <c r="A44" s="129" t="s">
        <v>74</v>
      </c>
      <c r="B44" s="130"/>
      <c r="C44" s="89" t="s">
        <v>75</v>
      </c>
      <c r="D44" s="89" t="s">
        <v>76</v>
      </c>
    </row>
    <row r="45" spans="1:5" ht="45.75" customHeight="1" thickTop="1" thickBot="1" x14ac:dyDescent="0.35">
      <c r="A45" s="90" t="s">
        <v>77</v>
      </c>
      <c r="B45" s="115">
        <v>95</v>
      </c>
      <c r="C45" s="91">
        <v>0</v>
      </c>
      <c r="D45" s="92">
        <v>0</v>
      </c>
      <c r="E45" s="30"/>
    </row>
    <row r="46" spans="1:5" ht="45.75" customHeight="1" thickTop="1" thickBot="1" x14ac:dyDescent="0.35">
      <c r="A46" s="90" t="s">
        <v>78</v>
      </c>
      <c r="B46" s="115">
        <v>150</v>
      </c>
      <c r="C46" s="91">
        <v>0.19</v>
      </c>
      <c r="D46" s="92" t="s">
        <v>79</v>
      </c>
      <c r="E46" s="30"/>
    </row>
    <row r="47" spans="1:5" ht="45.75" customHeight="1" thickTop="1" thickBot="1" x14ac:dyDescent="0.35">
      <c r="A47" s="90" t="s">
        <v>80</v>
      </c>
      <c r="B47" s="115">
        <v>360</v>
      </c>
      <c r="C47" s="91">
        <v>0.28000000000000003</v>
      </c>
      <c r="D47" s="92" t="s">
        <v>81</v>
      </c>
      <c r="E47" s="30"/>
    </row>
    <row r="48" spans="1:5" ht="45.75" customHeight="1" thickTop="1" thickBot="1" x14ac:dyDescent="0.35">
      <c r="A48" s="90" t="s">
        <v>82</v>
      </c>
      <c r="B48" s="115">
        <v>640</v>
      </c>
      <c r="C48" s="91">
        <v>0.33</v>
      </c>
      <c r="D48" s="92" t="s">
        <v>83</v>
      </c>
      <c r="E48" s="30"/>
    </row>
    <row r="49" spans="1:5" ht="45.75" customHeight="1" thickTop="1" thickBot="1" x14ac:dyDescent="0.35">
      <c r="A49" s="90" t="s">
        <v>84</v>
      </c>
      <c r="B49" s="115">
        <v>945</v>
      </c>
      <c r="C49" s="91">
        <v>0.35</v>
      </c>
      <c r="D49" s="92" t="s">
        <v>85</v>
      </c>
      <c r="E49" s="30"/>
    </row>
    <row r="50" spans="1:5" ht="45.75" customHeight="1" thickTop="1" thickBot="1" x14ac:dyDescent="0.35">
      <c r="A50" s="90" t="s">
        <v>86</v>
      </c>
      <c r="B50" s="115">
        <v>2300</v>
      </c>
      <c r="C50" s="91">
        <v>0.37</v>
      </c>
      <c r="D50" s="92" t="s">
        <v>87</v>
      </c>
      <c r="E50" s="30"/>
    </row>
    <row r="51" spans="1:5" ht="45.75" customHeight="1" thickTop="1" thickBot="1" x14ac:dyDescent="0.35">
      <c r="A51" s="90" t="s">
        <v>88</v>
      </c>
      <c r="B51" s="115" t="s">
        <v>89</v>
      </c>
      <c r="C51" s="91">
        <v>0.39</v>
      </c>
      <c r="D51" s="92" t="s">
        <v>90</v>
      </c>
      <c r="E51" s="30"/>
    </row>
    <row r="52" spans="1:5" ht="21.6" thickTop="1" x14ac:dyDescent="0.4">
      <c r="D52" s="93"/>
    </row>
    <row r="53" spans="1:5" x14ac:dyDescent="0.4"/>
    <row r="54" spans="1:5" x14ac:dyDescent="0.4"/>
    <row r="55" spans="1:5" x14ac:dyDescent="0.4"/>
    <row r="56" spans="1:5" x14ac:dyDescent="0.4"/>
    <row r="57" spans="1:5" x14ac:dyDescent="0.4"/>
    <row r="61" spans="1:5" ht="28.8" hidden="1" x14ac:dyDescent="0.55000000000000004">
      <c r="B61" s="116"/>
      <c r="C61" s="94"/>
    </row>
    <row r="62" spans="1:5" ht="28.8" hidden="1" x14ac:dyDescent="0.55000000000000004">
      <c r="B62" s="116"/>
      <c r="C62" s="94"/>
    </row>
    <row r="63" spans="1:5" ht="28.8" hidden="1" x14ac:dyDescent="0.55000000000000004">
      <c r="B63" s="116"/>
      <c r="C63" s="94"/>
    </row>
    <row r="64" spans="1:5" ht="28.8" hidden="1" x14ac:dyDescent="0.55000000000000004">
      <c r="B64" s="116"/>
      <c r="C64" s="94"/>
    </row>
    <row r="65" spans="2:3" ht="28.8" hidden="1" x14ac:dyDescent="0.55000000000000004">
      <c r="B65" s="116"/>
      <c r="C65" s="94"/>
    </row>
    <row r="66" spans="2:3" ht="28.8" hidden="1" x14ac:dyDescent="0.55000000000000004">
      <c r="C66" s="95"/>
    </row>
  </sheetData>
  <mergeCells count="6">
    <mergeCell ref="A44:B44"/>
    <mergeCell ref="A1:C1"/>
    <mergeCell ref="A2:B2"/>
    <mergeCell ref="A5:C5"/>
    <mergeCell ref="A12:C12"/>
    <mergeCell ref="A20:B20"/>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COLABORADORES</vt:lpstr>
      <vt:lpstr>NOVEDADES</vt:lpstr>
      <vt:lpstr>Tablas</vt:lpstr>
      <vt:lpstr>RETENCIÓN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RUTH</dc:creator>
  <cp:keywords/>
  <dc:description/>
  <cp:lastModifiedBy>Albert</cp:lastModifiedBy>
  <cp:revision/>
  <dcterms:created xsi:type="dcterms:W3CDTF">2024-02-18T09:10:08Z</dcterms:created>
  <dcterms:modified xsi:type="dcterms:W3CDTF">2024-10-02T14:23:51Z</dcterms:modified>
  <cp:category/>
  <cp:contentStatus/>
</cp:coreProperties>
</file>